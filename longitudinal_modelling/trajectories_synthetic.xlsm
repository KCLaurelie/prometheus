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urelie/PycharmProjects/prometheus/longitudinal_modelling/"/>
    </mc:Choice>
  </mc:AlternateContent>
  <xr:revisionPtr revIDLastSave="0" documentId="13_ncr:1_{705041B9-0AD7-C847-8E1F-E16D4EF65C2C}" xr6:coauthVersionLast="46" xr6:coauthVersionMax="46" xr10:uidLastSave="{00000000-0000-0000-0000-000000000000}"/>
  <bookViews>
    <workbookView xWindow="0" yWindow="500" windowWidth="35840" windowHeight="21900" activeTab="1" xr2:uid="{A4EDA542-2CCD-4EA2-B399-A018A3B86F64}"/>
  </bookViews>
  <sheets>
    <sheet name="pivot" sheetId="4" r:id="rId1"/>
    <sheet name="data" sheetId="1" r:id="rId2"/>
    <sheet name="template" sheetId="3" r:id="rId3"/>
    <sheet name="test" sheetId="5" r:id="rId4"/>
  </sheets>
  <definedNames>
    <definedName name="_xlnm._FilterDatabase" localSheetId="1" hidden="1">data!$A$1:$F$577</definedName>
    <definedName name="_xlnm._FilterDatabase" localSheetId="2" hidden="1">template!$A$1:$F$97</definedName>
    <definedName name="score_init">template!$D$2</definedName>
  </definedNames>
  <calcPr calcId="191029" calcOnSave="0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66" i="1" l="1"/>
  <c r="A867" i="1" s="1"/>
  <c r="A868" i="1" s="1"/>
  <c r="A869" i="1" s="1"/>
  <c r="A870" i="1" s="1"/>
  <c r="A871" i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C1718" i="1"/>
  <c r="C1719" i="1" s="1"/>
  <c r="C1720" i="1" s="1"/>
  <c r="C1721" i="1" s="1"/>
  <c r="C1722" i="1" s="1"/>
  <c r="C1723" i="1" s="1"/>
  <c r="C1724" i="1" s="1"/>
  <c r="C1725" i="1" s="1"/>
  <c r="C1726" i="1" s="1"/>
  <c r="C1727" i="1" s="1"/>
  <c r="C1728" i="1" s="1"/>
  <c r="C1729" i="1" s="1"/>
  <c r="C1706" i="1"/>
  <c r="C1707" i="1" s="1"/>
  <c r="C1708" i="1" s="1"/>
  <c r="C1709" i="1" s="1"/>
  <c r="C1710" i="1" s="1"/>
  <c r="C1711" i="1" s="1"/>
  <c r="C1712" i="1" s="1"/>
  <c r="C1713" i="1" s="1"/>
  <c r="C1714" i="1" s="1"/>
  <c r="C1715" i="1" s="1"/>
  <c r="C1716" i="1" s="1"/>
  <c r="C1717" i="1" s="1"/>
  <c r="C1694" i="1"/>
  <c r="C1695" i="1" s="1"/>
  <c r="C1696" i="1" s="1"/>
  <c r="C1697" i="1" s="1"/>
  <c r="C1698" i="1" s="1"/>
  <c r="C1699" i="1" s="1"/>
  <c r="C1700" i="1" s="1"/>
  <c r="C1701" i="1" s="1"/>
  <c r="C1702" i="1" s="1"/>
  <c r="C1703" i="1" s="1"/>
  <c r="C1704" i="1" s="1"/>
  <c r="C1705" i="1" s="1"/>
  <c r="C1685" i="1"/>
  <c r="C1686" i="1" s="1"/>
  <c r="C1687" i="1" s="1"/>
  <c r="C1688" i="1" s="1"/>
  <c r="C1689" i="1" s="1"/>
  <c r="C1690" i="1" s="1"/>
  <c r="C1691" i="1" s="1"/>
  <c r="C1692" i="1" s="1"/>
  <c r="C1693" i="1" s="1"/>
  <c r="C1682" i="1"/>
  <c r="C1683" i="1" s="1"/>
  <c r="C1684" i="1" s="1"/>
  <c r="C1670" i="1"/>
  <c r="C1671" i="1" s="1"/>
  <c r="C1672" i="1" s="1"/>
  <c r="C1673" i="1" s="1"/>
  <c r="C1674" i="1" s="1"/>
  <c r="C1675" i="1" s="1"/>
  <c r="C1676" i="1" s="1"/>
  <c r="C1677" i="1" s="1"/>
  <c r="C1678" i="1" s="1"/>
  <c r="C1679" i="1" s="1"/>
  <c r="C1680" i="1" s="1"/>
  <c r="C1681" i="1" s="1"/>
  <c r="C1661" i="1"/>
  <c r="C1662" i="1" s="1"/>
  <c r="C1663" i="1" s="1"/>
  <c r="C1664" i="1" s="1"/>
  <c r="C1665" i="1" s="1"/>
  <c r="C1666" i="1" s="1"/>
  <c r="C1667" i="1" s="1"/>
  <c r="C1668" i="1" s="1"/>
  <c r="C1669" i="1" s="1"/>
  <c r="C1658" i="1"/>
  <c r="C1659" i="1" s="1"/>
  <c r="C1660" i="1" s="1"/>
  <c r="C1646" i="1"/>
  <c r="C1647" i="1" s="1"/>
  <c r="C1648" i="1" s="1"/>
  <c r="C1649" i="1" s="1"/>
  <c r="C1650" i="1" s="1"/>
  <c r="C1651" i="1" s="1"/>
  <c r="C1652" i="1" s="1"/>
  <c r="C1653" i="1" s="1"/>
  <c r="C1654" i="1" s="1"/>
  <c r="C1655" i="1" s="1"/>
  <c r="C1656" i="1" s="1"/>
  <c r="C1657" i="1" s="1"/>
  <c r="C1645" i="1"/>
  <c r="C1641" i="1"/>
  <c r="C1642" i="1" s="1"/>
  <c r="C1643" i="1" s="1"/>
  <c r="C1644" i="1" s="1"/>
  <c r="C1637" i="1"/>
  <c r="C1638" i="1" s="1"/>
  <c r="C1639" i="1" s="1"/>
  <c r="C1640" i="1" s="1"/>
  <c r="C1634" i="1"/>
  <c r="C1635" i="1" s="1"/>
  <c r="C1636" i="1" s="1"/>
  <c r="C1622" i="1"/>
  <c r="C1623" i="1" s="1"/>
  <c r="C1624" i="1" s="1"/>
  <c r="C1625" i="1" s="1"/>
  <c r="C1626" i="1" s="1"/>
  <c r="C1627" i="1" s="1"/>
  <c r="C1628" i="1" s="1"/>
  <c r="C1629" i="1" s="1"/>
  <c r="C1630" i="1" s="1"/>
  <c r="C1631" i="1" s="1"/>
  <c r="C1632" i="1" s="1"/>
  <c r="C1633" i="1" s="1"/>
  <c r="C1617" i="1"/>
  <c r="C1618" i="1" s="1"/>
  <c r="C1619" i="1" s="1"/>
  <c r="C1620" i="1" s="1"/>
  <c r="C1621" i="1" s="1"/>
  <c r="C1613" i="1"/>
  <c r="C1614" i="1" s="1"/>
  <c r="C1615" i="1" s="1"/>
  <c r="C1616" i="1" s="1"/>
  <c r="C1610" i="1"/>
  <c r="C1611" i="1" s="1"/>
  <c r="C1612" i="1" s="1"/>
  <c r="C1598" i="1"/>
  <c r="C1599" i="1" s="1"/>
  <c r="C1600" i="1" s="1"/>
  <c r="C1601" i="1" s="1"/>
  <c r="C1602" i="1" s="1"/>
  <c r="C1603" i="1" s="1"/>
  <c r="C1604" i="1" s="1"/>
  <c r="C1605" i="1" s="1"/>
  <c r="C1606" i="1" s="1"/>
  <c r="C1607" i="1" s="1"/>
  <c r="C1608" i="1" s="1"/>
  <c r="C1609" i="1" s="1"/>
  <c r="C1589" i="1"/>
  <c r="C1590" i="1" s="1"/>
  <c r="C1591" i="1" s="1"/>
  <c r="C1592" i="1" s="1"/>
  <c r="C1593" i="1" s="1"/>
  <c r="C1594" i="1" s="1"/>
  <c r="C1595" i="1" s="1"/>
  <c r="C1596" i="1" s="1"/>
  <c r="C1597" i="1" s="1"/>
  <c r="C1586" i="1"/>
  <c r="C1587" i="1" s="1"/>
  <c r="C1588" i="1" s="1"/>
  <c r="C1574" i="1"/>
  <c r="C1575" i="1" s="1"/>
  <c r="C1576" i="1" s="1"/>
  <c r="C1577" i="1" s="1"/>
  <c r="C1578" i="1" s="1"/>
  <c r="C1579" i="1" s="1"/>
  <c r="C1580" i="1" s="1"/>
  <c r="C1581" i="1" s="1"/>
  <c r="C1582" i="1" s="1"/>
  <c r="C1583" i="1" s="1"/>
  <c r="C1584" i="1" s="1"/>
  <c r="C1585" i="1" s="1"/>
  <c r="C1565" i="1"/>
  <c r="C1566" i="1" s="1"/>
  <c r="C1567" i="1" s="1"/>
  <c r="C1568" i="1" s="1"/>
  <c r="C1569" i="1" s="1"/>
  <c r="C1570" i="1" s="1"/>
  <c r="C1571" i="1" s="1"/>
  <c r="C1572" i="1" s="1"/>
  <c r="C1573" i="1" s="1"/>
  <c r="C1562" i="1"/>
  <c r="C1563" i="1" s="1"/>
  <c r="C1564" i="1" s="1"/>
  <c r="C1550" i="1"/>
  <c r="C1551" i="1" s="1"/>
  <c r="C1552" i="1" s="1"/>
  <c r="C1553" i="1" s="1"/>
  <c r="C1554" i="1" s="1"/>
  <c r="C1555" i="1" s="1"/>
  <c r="C1556" i="1" s="1"/>
  <c r="C1557" i="1" s="1"/>
  <c r="C1558" i="1" s="1"/>
  <c r="C1559" i="1" s="1"/>
  <c r="C1560" i="1" s="1"/>
  <c r="C1561" i="1" s="1"/>
  <c r="C1549" i="1"/>
  <c r="C1545" i="1"/>
  <c r="C1546" i="1" s="1"/>
  <c r="C1547" i="1" s="1"/>
  <c r="C1548" i="1" s="1"/>
  <c r="C1541" i="1"/>
  <c r="C1542" i="1" s="1"/>
  <c r="C1543" i="1" s="1"/>
  <c r="C1544" i="1" s="1"/>
  <c r="C1538" i="1"/>
  <c r="C1539" i="1" s="1"/>
  <c r="C1540" i="1" s="1"/>
  <c r="C1526" i="1"/>
  <c r="C1527" i="1" s="1"/>
  <c r="C1528" i="1" s="1"/>
  <c r="C1529" i="1" s="1"/>
  <c r="C1530" i="1" s="1"/>
  <c r="C1531" i="1" s="1"/>
  <c r="C1532" i="1" s="1"/>
  <c r="C1533" i="1" s="1"/>
  <c r="C1534" i="1" s="1"/>
  <c r="C1535" i="1" s="1"/>
  <c r="C1536" i="1" s="1"/>
  <c r="C1537" i="1" s="1"/>
  <c r="C1514" i="1"/>
  <c r="C1515" i="1" s="1"/>
  <c r="C1516" i="1" s="1"/>
  <c r="C1517" i="1" s="1"/>
  <c r="C1518" i="1" s="1"/>
  <c r="C1519" i="1" s="1"/>
  <c r="C1520" i="1" s="1"/>
  <c r="C1521" i="1" s="1"/>
  <c r="C1522" i="1" s="1"/>
  <c r="C1523" i="1" s="1"/>
  <c r="C1524" i="1" s="1"/>
  <c r="C1525" i="1" s="1"/>
  <c r="C1505" i="1"/>
  <c r="C1506" i="1" s="1"/>
  <c r="C1507" i="1" s="1"/>
  <c r="C1508" i="1" s="1"/>
  <c r="C1509" i="1" s="1"/>
  <c r="C1510" i="1" s="1"/>
  <c r="C1511" i="1" s="1"/>
  <c r="C1512" i="1" s="1"/>
  <c r="C1513" i="1" s="1"/>
  <c r="C1502" i="1"/>
  <c r="C1503" i="1" s="1"/>
  <c r="C1504" i="1" s="1"/>
  <c r="C1493" i="1"/>
  <c r="C1494" i="1" s="1"/>
  <c r="C1495" i="1" s="1"/>
  <c r="C1496" i="1" s="1"/>
  <c r="C1497" i="1" s="1"/>
  <c r="C1498" i="1" s="1"/>
  <c r="C1499" i="1" s="1"/>
  <c r="C1500" i="1" s="1"/>
  <c r="C1501" i="1" s="1"/>
  <c r="C1490" i="1"/>
  <c r="C1491" i="1" s="1"/>
  <c r="C1492" i="1" s="1"/>
  <c r="C1478" i="1"/>
  <c r="C1479" i="1" s="1"/>
  <c r="C1480" i="1" s="1"/>
  <c r="C1481" i="1" s="1"/>
  <c r="C1482" i="1" s="1"/>
  <c r="C1483" i="1" s="1"/>
  <c r="C1484" i="1" s="1"/>
  <c r="C1485" i="1" s="1"/>
  <c r="C1486" i="1" s="1"/>
  <c r="C1487" i="1" s="1"/>
  <c r="C1488" i="1" s="1"/>
  <c r="C1489" i="1" s="1"/>
  <c r="C1466" i="1"/>
  <c r="C1467" i="1" s="1"/>
  <c r="C1468" i="1" s="1"/>
  <c r="C1469" i="1" s="1"/>
  <c r="C1470" i="1" s="1"/>
  <c r="C1471" i="1" s="1"/>
  <c r="C1472" i="1" s="1"/>
  <c r="C1473" i="1" s="1"/>
  <c r="C1474" i="1" s="1"/>
  <c r="C1475" i="1" s="1"/>
  <c r="C1476" i="1" s="1"/>
  <c r="C1477" i="1" s="1"/>
  <c r="C1465" i="1"/>
  <c r="C1457" i="1"/>
  <c r="C1458" i="1" s="1"/>
  <c r="C1459" i="1" s="1"/>
  <c r="C1460" i="1" s="1"/>
  <c r="C1461" i="1" s="1"/>
  <c r="C1462" i="1" s="1"/>
  <c r="C1463" i="1" s="1"/>
  <c r="C1464" i="1" s="1"/>
  <c r="C1454" i="1"/>
  <c r="C1455" i="1" s="1"/>
  <c r="C1456" i="1" s="1"/>
  <c r="C1445" i="1"/>
  <c r="C1446" i="1" s="1"/>
  <c r="C1447" i="1" s="1"/>
  <c r="C1448" i="1" s="1"/>
  <c r="C1449" i="1" s="1"/>
  <c r="C1450" i="1" s="1"/>
  <c r="C1451" i="1" s="1"/>
  <c r="C1452" i="1" s="1"/>
  <c r="C1453" i="1" s="1"/>
  <c r="C1442" i="1"/>
  <c r="C1443" i="1" s="1"/>
  <c r="C1444" i="1" s="1"/>
  <c r="C1430" i="1"/>
  <c r="C1431" i="1" s="1"/>
  <c r="C1432" i="1" s="1"/>
  <c r="C1433" i="1" s="1"/>
  <c r="C1434" i="1" s="1"/>
  <c r="C1435" i="1" s="1"/>
  <c r="C1436" i="1" s="1"/>
  <c r="C1437" i="1" s="1"/>
  <c r="C1438" i="1" s="1"/>
  <c r="C1439" i="1" s="1"/>
  <c r="C1440" i="1" s="1"/>
  <c r="C1441" i="1" s="1"/>
  <c r="C1421" i="1"/>
  <c r="C1422" i="1" s="1"/>
  <c r="C1423" i="1" s="1"/>
  <c r="C1424" i="1" s="1"/>
  <c r="C1425" i="1" s="1"/>
  <c r="C1426" i="1" s="1"/>
  <c r="C1427" i="1" s="1"/>
  <c r="C1428" i="1" s="1"/>
  <c r="C1429" i="1" s="1"/>
  <c r="C1420" i="1"/>
  <c r="C1418" i="1"/>
  <c r="C1419" i="1" s="1"/>
  <c r="C1412" i="1"/>
  <c r="C1413" i="1" s="1"/>
  <c r="C1414" i="1" s="1"/>
  <c r="C1415" i="1" s="1"/>
  <c r="C1416" i="1" s="1"/>
  <c r="C1417" i="1" s="1"/>
  <c r="C1406" i="1"/>
  <c r="C1407" i="1" s="1"/>
  <c r="C1408" i="1" s="1"/>
  <c r="C1409" i="1" s="1"/>
  <c r="C1410" i="1" s="1"/>
  <c r="C1411" i="1" s="1"/>
  <c r="C1394" i="1"/>
  <c r="C1395" i="1" s="1"/>
  <c r="C1396" i="1" s="1"/>
  <c r="C1397" i="1" s="1"/>
  <c r="C1398" i="1" s="1"/>
  <c r="C1399" i="1" s="1"/>
  <c r="C1400" i="1" s="1"/>
  <c r="C1401" i="1" s="1"/>
  <c r="C1402" i="1" s="1"/>
  <c r="C1403" i="1" s="1"/>
  <c r="C1404" i="1" s="1"/>
  <c r="C1405" i="1" s="1"/>
  <c r="C1382" i="1"/>
  <c r="C1383" i="1" s="1"/>
  <c r="C1384" i="1" s="1"/>
  <c r="C1385" i="1" s="1"/>
  <c r="C1386" i="1" s="1"/>
  <c r="C1387" i="1" s="1"/>
  <c r="C1388" i="1" s="1"/>
  <c r="C1389" i="1" s="1"/>
  <c r="C1390" i="1" s="1"/>
  <c r="C1391" i="1" s="1"/>
  <c r="C1392" i="1" s="1"/>
  <c r="C1393" i="1" s="1"/>
  <c r="C1370" i="1"/>
  <c r="C1371" i="1" s="1"/>
  <c r="C1372" i="1" s="1"/>
  <c r="C1373" i="1" s="1"/>
  <c r="C1374" i="1" s="1"/>
  <c r="C1375" i="1" s="1"/>
  <c r="C1376" i="1" s="1"/>
  <c r="C1377" i="1" s="1"/>
  <c r="C1378" i="1" s="1"/>
  <c r="C1379" i="1" s="1"/>
  <c r="C1380" i="1" s="1"/>
  <c r="C1381" i="1" s="1"/>
  <c r="C1358" i="1"/>
  <c r="C1359" i="1" s="1"/>
  <c r="C1360" i="1" s="1"/>
  <c r="C1361" i="1" s="1"/>
  <c r="C1362" i="1" s="1"/>
  <c r="C1363" i="1" s="1"/>
  <c r="C1364" i="1" s="1"/>
  <c r="C1365" i="1" s="1"/>
  <c r="C1366" i="1" s="1"/>
  <c r="C1367" i="1" s="1"/>
  <c r="C1368" i="1" s="1"/>
  <c r="C1369" i="1" s="1"/>
  <c r="C1349" i="1"/>
  <c r="C1350" i="1" s="1"/>
  <c r="C1351" i="1" s="1"/>
  <c r="C1352" i="1" s="1"/>
  <c r="C1353" i="1" s="1"/>
  <c r="C1354" i="1" s="1"/>
  <c r="C1355" i="1" s="1"/>
  <c r="C1356" i="1" s="1"/>
  <c r="C1357" i="1" s="1"/>
  <c r="C1346" i="1"/>
  <c r="C1347" i="1" s="1"/>
  <c r="C1348" i="1" s="1"/>
  <c r="C1337" i="1"/>
  <c r="C1338" i="1" s="1"/>
  <c r="C1339" i="1" s="1"/>
  <c r="C1340" i="1" s="1"/>
  <c r="C1341" i="1" s="1"/>
  <c r="C1342" i="1" s="1"/>
  <c r="C1343" i="1" s="1"/>
  <c r="C1344" i="1" s="1"/>
  <c r="C1345" i="1" s="1"/>
  <c r="C1334" i="1"/>
  <c r="C1335" i="1" s="1"/>
  <c r="C1336" i="1" s="1"/>
  <c r="C1333" i="1"/>
  <c r="C1325" i="1"/>
  <c r="C1326" i="1" s="1"/>
  <c r="C1327" i="1" s="1"/>
  <c r="C1328" i="1" s="1"/>
  <c r="C1329" i="1" s="1"/>
  <c r="C1330" i="1" s="1"/>
  <c r="C1331" i="1" s="1"/>
  <c r="C1332" i="1" s="1"/>
  <c r="C1322" i="1"/>
  <c r="C1323" i="1" s="1"/>
  <c r="C1324" i="1" s="1"/>
  <c r="C1313" i="1"/>
  <c r="C1314" i="1" s="1"/>
  <c r="C1315" i="1" s="1"/>
  <c r="C1316" i="1" s="1"/>
  <c r="C1317" i="1" s="1"/>
  <c r="C1318" i="1" s="1"/>
  <c r="C1319" i="1" s="1"/>
  <c r="C1320" i="1" s="1"/>
  <c r="C1321" i="1" s="1"/>
  <c r="C1310" i="1"/>
  <c r="C1311" i="1" s="1"/>
  <c r="C1312" i="1" s="1"/>
  <c r="C1301" i="1"/>
  <c r="C1302" i="1" s="1"/>
  <c r="C1303" i="1" s="1"/>
  <c r="C1304" i="1" s="1"/>
  <c r="C1305" i="1" s="1"/>
  <c r="C1306" i="1" s="1"/>
  <c r="C1307" i="1" s="1"/>
  <c r="C1308" i="1" s="1"/>
  <c r="C1309" i="1" s="1"/>
  <c r="C1298" i="1"/>
  <c r="C1299" i="1" s="1"/>
  <c r="C1300" i="1" s="1"/>
  <c r="C1297" i="1"/>
  <c r="C1289" i="1"/>
  <c r="C1290" i="1" s="1"/>
  <c r="C1291" i="1" s="1"/>
  <c r="C1292" i="1" s="1"/>
  <c r="C1293" i="1" s="1"/>
  <c r="C1294" i="1" s="1"/>
  <c r="C1295" i="1" s="1"/>
  <c r="C1296" i="1" s="1"/>
  <c r="C1286" i="1"/>
  <c r="C1287" i="1" s="1"/>
  <c r="C1288" i="1" s="1"/>
  <c r="C1274" i="1"/>
  <c r="C1275" i="1" s="1"/>
  <c r="C1276" i="1" s="1"/>
  <c r="C1277" i="1" s="1"/>
  <c r="C1278" i="1" s="1"/>
  <c r="C1279" i="1" s="1"/>
  <c r="C1280" i="1" s="1"/>
  <c r="C1281" i="1" s="1"/>
  <c r="C1282" i="1" s="1"/>
  <c r="C1283" i="1" s="1"/>
  <c r="C1284" i="1" s="1"/>
  <c r="C1285" i="1" s="1"/>
  <c r="C1262" i="1"/>
  <c r="C1263" i="1" s="1"/>
  <c r="C1264" i="1" s="1"/>
  <c r="C1265" i="1" s="1"/>
  <c r="C1266" i="1" s="1"/>
  <c r="C1267" i="1" s="1"/>
  <c r="C1268" i="1" s="1"/>
  <c r="C1269" i="1" s="1"/>
  <c r="C1270" i="1" s="1"/>
  <c r="C1271" i="1" s="1"/>
  <c r="C1272" i="1" s="1"/>
  <c r="C1273" i="1" s="1"/>
  <c r="C1253" i="1"/>
  <c r="C1254" i="1" s="1"/>
  <c r="C1255" i="1" s="1"/>
  <c r="C1256" i="1" s="1"/>
  <c r="C1257" i="1" s="1"/>
  <c r="C1258" i="1" s="1"/>
  <c r="C1259" i="1" s="1"/>
  <c r="C1260" i="1" s="1"/>
  <c r="C1261" i="1" s="1"/>
  <c r="C1250" i="1"/>
  <c r="C1251" i="1" s="1"/>
  <c r="C1252" i="1" s="1"/>
  <c r="C1241" i="1"/>
  <c r="C1242" i="1" s="1"/>
  <c r="C1243" i="1" s="1"/>
  <c r="C1244" i="1" s="1"/>
  <c r="C1245" i="1" s="1"/>
  <c r="C1246" i="1" s="1"/>
  <c r="C1247" i="1" s="1"/>
  <c r="C1248" i="1" s="1"/>
  <c r="C1249" i="1" s="1"/>
  <c r="C1238" i="1"/>
  <c r="C1239" i="1" s="1"/>
  <c r="C1240" i="1" s="1"/>
  <c r="C1226" i="1"/>
  <c r="C1227" i="1" s="1"/>
  <c r="C1228" i="1" s="1"/>
  <c r="C1229" i="1" s="1"/>
  <c r="C1230" i="1" s="1"/>
  <c r="C1231" i="1" s="1"/>
  <c r="C1232" i="1" s="1"/>
  <c r="C1233" i="1" s="1"/>
  <c r="C1234" i="1" s="1"/>
  <c r="C1235" i="1" s="1"/>
  <c r="C1236" i="1" s="1"/>
  <c r="C1237" i="1" s="1"/>
  <c r="C1214" i="1"/>
  <c r="C1215" i="1" s="1"/>
  <c r="C1216" i="1" s="1"/>
  <c r="C1217" i="1" s="1"/>
  <c r="C1218" i="1" s="1"/>
  <c r="C1219" i="1" s="1"/>
  <c r="C1220" i="1" s="1"/>
  <c r="C1221" i="1" s="1"/>
  <c r="C1222" i="1" s="1"/>
  <c r="C1223" i="1" s="1"/>
  <c r="C1224" i="1" s="1"/>
  <c r="C1225" i="1" s="1"/>
  <c r="C1205" i="1"/>
  <c r="C1206" i="1" s="1"/>
  <c r="C1207" i="1" s="1"/>
  <c r="C1208" i="1" s="1"/>
  <c r="C1209" i="1" s="1"/>
  <c r="C1210" i="1" s="1"/>
  <c r="C1211" i="1" s="1"/>
  <c r="C1212" i="1" s="1"/>
  <c r="C1213" i="1" s="1"/>
  <c r="C1202" i="1"/>
  <c r="C1203" i="1" s="1"/>
  <c r="C1204" i="1" s="1"/>
  <c r="C1190" i="1"/>
  <c r="C1191" i="1" s="1"/>
  <c r="C1192" i="1" s="1"/>
  <c r="C1193" i="1" s="1"/>
  <c r="C1194" i="1" s="1"/>
  <c r="C1195" i="1" s="1"/>
  <c r="C1196" i="1" s="1"/>
  <c r="C1197" i="1" s="1"/>
  <c r="C1198" i="1" s="1"/>
  <c r="C1199" i="1" s="1"/>
  <c r="C1200" i="1" s="1"/>
  <c r="C1201" i="1" s="1"/>
  <c r="C1180" i="1"/>
  <c r="C1181" i="1" s="1"/>
  <c r="C1182" i="1" s="1"/>
  <c r="C1183" i="1" s="1"/>
  <c r="C1184" i="1" s="1"/>
  <c r="C1185" i="1" s="1"/>
  <c r="C1186" i="1" s="1"/>
  <c r="C1187" i="1" s="1"/>
  <c r="C1188" i="1" s="1"/>
  <c r="C1189" i="1" s="1"/>
  <c r="C1178" i="1"/>
  <c r="C1179" i="1" s="1"/>
  <c r="C1166" i="1"/>
  <c r="C1167" i="1" s="1"/>
  <c r="C1168" i="1" s="1"/>
  <c r="C1169" i="1" s="1"/>
  <c r="C1170" i="1" s="1"/>
  <c r="C1171" i="1" s="1"/>
  <c r="C1172" i="1" s="1"/>
  <c r="C1173" i="1" s="1"/>
  <c r="C1174" i="1" s="1"/>
  <c r="C1175" i="1" s="1"/>
  <c r="C1176" i="1" s="1"/>
  <c r="C1177" i="1" s="1"/>
  <c r="C1155" i="1"/>
  <c r="C1156" i="1" s="1"/>
  <c r="C1157" i="1" s="1"/>
  <c r="C1158" i="1" s="1"/>
  <c r="C1159" i="1" s="1"/>
  <c r="C1160" i="1" s="1"/>
  <c r="C1161" i="1" s="1"/>
  <c r="C1162" i="1" s="1"/>
  <c r="C1163" i="1" s="1"/>
  <c r="C1164" i="1" s="1"/>
  <c r="C1165" i="1" s="1"/>
  <c r="C1154" i="1"/>
  <c r="C1145" i="1"/>
  <c r="C1146" i="1" s="1"/>
  <c r="C1147" i="1" s="1"/>
  <c r="C1148" i="1" s="1"/>
  <c r="C1149" i="1" s="1"/>
  <c r="C1150" i="1" s="1"/>
  <c r="C1151" i="1" s="1"/>
  <c r="C1152" i="1" s="1"/>
  <c r="C1153" i="1" s="1"/>
  <c r="C1143" i="1"/>
  <c r="C1144" i="1" s="1"/>
  <c r="C1142" i="1"/>
  <c r="C1133" i="1"/>
  <c r="C1134" i="1" s="1"/>
  <c r="C1135" i="1" s="1"/>
  <c r="C1136" i="1" s="1"/>
  <c r="C1137" i="1" s="1"/>
  <c r="C1138" i="1" s="1"/>
  <c r="C1139" i="1" s="1"/>
  <c r="C1140" i="1" s="1"/>
  <c r="C1141" i="1" s="1"/>
  <c r="C1131" i="1"/>
  <c r="C1132" i="1" s="1"/>
  <c r="C1130" i="1"/>
  <c r="C1121" i="1"/>
  <c r="C1122" i="1" s="1"/>
  <c r="C1123" i="1" s="1"/>
  <c r="C1124" i="1" s="1"/>
  <c r="C1125" i="1" s="1"/>
  <c r="C1126" i="1" s="1"/>
  <c r="C1127" i="1" s="1"/>
  <c r="C1128" i="1" s="1"/>
  <c r="C1129" i="1" s="1"/>
  <c r="C1119" i="1"/>
  <c r="C1120" i="1" s="1"/>
  <c r="C1118" i="1"/>
  <c r="C1109" i="1"/>
  <c r="C1110" i="1" s="1"/>
  <c r="C1111" i="1" s="1"/>
  <c r="C1112" i="1" s="1"/>
  <c r="C1113" i="1" s="1"/>
  <c r="C1114" i="1" s="1"/>
  <c r="C1115" i="1" s="1"/>
  <c r="C1116" i="1" s="1"/>
  <c r="C1117" i="1" s="1"/>
  <c r="C1107" i="1"/>
  <c r="C1108" i="1" s="1"/>
  <c r="C1106" i="1"/>
  <c r="C1097" i="1"/>
  <c r="C1098" i="1" s="1"/>
  <c r="C1099" i="1" s="1"/>
  <c r="C1100" i="1" s="1"/>
  <c r="C1101" i="1" s="1"/>
  <c r="C1102" i="1" s="1"/>
  <c r="C1103" i="1" s="1"/>
  <c r="C1104" i="1" s="1"/>
  <c r="C1105" i="1" s="1"/>
  <c r="C1095" i="1"/>
  <c r="C1096" i="1" s="1"/>
  <c r="C1094" i="1"/>
  <c r="C1085" i="1"/>
  <c r="C1086" i="1" s="1"/>
  <c r="C1087" i="1" s="1"/>
  <c r="C1088" i="1" s="1"/>
  <c r="C1089" i="1" s="1"/>
  <c r="C1090" i="1" s="1"/>
  <c r="C1091" i="1" s="1"/>
  <c r="C1092" i="1" s="1"/>
  <c r="C1093" i="1" s="1"/>
  <c r="C1083" i="1"/>
  <c r="C1084" i="1" s="1"/>
  <c r="C1082" i="1"/>
  <c r="C1073" i="1"/>
  <c r="C1074" i="1" s="1"/>
  <c r="C1075" i="1" s="1"/>
  <c r="C1076" i="1" s="1"/>
  <c r="C1077" i="1" s="1"/>
  <c r="C1078" i="1" s="1"/>
  <c r="C1079" i="1" s="1"/>
  <c r="C1080" i="1" s="1"/>
  <c r="C1081" i="1" s="1"/>
  <c r="C1071" i="1"/>
  <c r="C1072" i="1" s="1"/>
  <c r="C1070" i="1"/>
  <c r="C1061" i="1"/>
  <c r="C1062" i="1" s="1"/>
  <c r="C1063" i="1" s="1"/>
  <c r="C1064" i="1" s="1"/>
  <c r="C1065" i="1" s="1"/>
  <c r="C1066" i="1" s="1"/>
  <c r="C1067" i="1" s="1"/>
  <c r="C1068" i="1" s="1"/>
  <c r="C1069" i="1" s="1"/>
  <c r="C1059" i="1"/>
  <c r="C1060" i="1" s="1"/>
  <c r="C1058" i="1"/>
  <c r="C1049" i="1"/>
  <c r="C1050" i="1" s="1"/>
  <c r="C1051" i="1" s="1"/>
  <c r="C1052" i="1" s="1"/>
  <c r="C1053" i="1" s="1"/>
  <c r="C1054" i="1" s="1"/>
  <c r="C1055" i="1" s="1"/>
  <c r="C1056" i="1" s="1"/>
  <c r="C1057" i="1" s="1"/>
  <c r="C1047" i="1"/>
  <c r="C1048" i="1" s="1"/>
  <c r="C1046" i="1"/>
  <c r="C1037" i="1"/>
  <c r="C1038" i="1" s="1"/>
  <c r="C1039" i="1" s="1"/>
  <c r="C1040" i="1" s="1"/>
  <c r="C1041" i="1" s="1"/>
  <c r="C1042" i="1" s="1"/>
  <c r="C1043" i="1" s="1"/>
  <c r="C1044" i="1" s="1"/>
  <c r="C1045" i="1" s="1"/>
  <c r="C1035" i="1"/>
  <c r="C1036" i="1" s="1"/>
  <c r="C1034" i="1"/>
  <c r="C1022" i="1"/>
  <c r="C1023" i="1" s="1"/>
  <c r="C1024" i="1" s="1"/>
  <c r="C1025" i="1" s="1"/>
  <c r="C1026" i="1" s="1"/>
  <c r="C1027" i="1" s="1"/>
  <c r="C1028" i="1" s="1"/>
  <c r="C1029" i="1" s="1"/>
  <c r="C1030" i="1" s="1"/>
  <c r="C1031" i="1" s="1"/>
  <c r="C1032" i="1" s="1"/>
  <c r="C1033" i="1" s="1"/>
  <c r="C1010" i="1"/>
  <c r="C1011" i="1" s="1"/>
  <c r="C1012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01" i="1"/>
  <c r="C1002" i="1" s="1"/>
  <c r="C1003" i="1" s="1"/>
  <c r="C1004" i="1" s="1"/>
  <c r="C1005" i="1" s="1"/>
  <c r="C1006" i="1" s="1"/>
  <c r="C1007" i="1" s="1"/>
  <c r="C1008" i="1" s="1"/>
  <c r="C1009" i="1" s="1"/>
  <c r="C1000" i="1"/>
  <c r="C999" i="1"/>
  <c r="C998" i="1"/>
  <c r="C986" i="1"/>
  <c r="C987" i="1" s="1"/>
  <c r="C988" i="1" s="1"/>
  <c r="C989" i="1" s="1"/>
  <c r="C990" i="1" s="1"/>
  <c r="C991" i="1" s="1"/>
  <c r="C992" i="1" s="1"/>
  <c r="C993" i="1" s="1"/>
  <c r="C994" i="1" s="1"/>
  <c r="C995" i="1" s="1"/>
  <c r="C996" i="1" s="1"/>
  <c r="C997" i="1" s="1"/>
  <c r="C974" i="1"/>
  <c r="C975" i="1" s="1"/>
  <c r="C976" i="1" s="1"/>
  <c r="C977" i="1" s="1"/>
  <c r="C978" i="1" s="1"/>
  <c r="C979" i="1" s="1"/>
  <c r="C980" i="1" s="1"/>
  <c r="C981" i="1" s="1"/>
  <c r="C982" i="1" s="1"/>
  <c r="C983" i="1" s="1"/>
  <c r="C984" i="1" s="1"/>
  <c r="C985" i="1" s="1"/>
  <c r="C962" i="1"/>
  <c r="C963" i="1" s="1"/>
  <c r="C964" i="1" s="1"/>
  <c r="C965" i="1" s="1"/>
  <c r="C966" i="1" s="1"/>
  <c r="C967" i="1" s="1"/>
  <c r="C968" i="1" s="1"/>
  <c r="C969" i="1" s="1"/>
  <c r="C970" i="1" s="1"/>
  <c r="C971" i="1" s="1"/>
  <c r="C972" i="1" s="1"/>
  <c r="C973" i="1" s="1"/>
  <c r="C950" i="1"/>
  <c r="C951" i="1" s="1"/>
  <c r="C952" i="1" s="1"/>
  <c r="C953" i="1" s="1"/>
  <c r="C954" i="1" s="1"/>
  <c r="C955" i="1" s="1"/>
  <c r="C956" i="1" s="1"/>
  <c r="C957" i="1" s="1"/>
  <c r="C958" i="1" s="1"/>
  <c r="C959" i="1" s="1"/>
  <c r="C960" i="1" s="1"/>
  <c r="C961" i="1" s="1"/>
  <c r="C938" i="1"/>
  <c r="C939" i="1" s="1"/>
  <c r="C940" i="1" s="1"/>
  <c r="C941" i="1" s="1"/>
  <c r="C942" i="1" s="1"/>
  <c r="C943" i="1" s="1"/>
  <c r="C944" i="1" s="1"/>
  <c r="C945" i="1" s="1"/>
  <c r="C946" i="1" s="1"/>
  <c r="C947" i="1" s="1"/>
  <c r="C948" i="1" s="1"/>
  <c r="C949" i="1" s="1"/>
  <c r="C926" i="1"/>
  <c r="C927" i="1" s="1"/>
  <c r="C928" i="1" s="1"/>
  <c r="C929" i="1" s="1"/>
  <c r="C930" i="1" s="1"/>
  <c r="C931" i="1" s="1"/>
  <c r="C932" i="1" s="1"/>
  <c r="C933" i="1" s="1"/>
  <c r="C934" i="1" s="1"/>
  <c r="C935" i="1" s="1"/>
  <c r="C936" i="1" s="1"/>
  <c r="C937" i="1" s="1"/>
  <c r="C914" i="1"/>
  <c r="C915" i="1" s="1"/>
  <c r="C916" i="1" s="1"/>
  <c r="C917" i="1" s="1"/>
  <c r="C918" i="1" s="1"/>
  <c r="C919" i="1" s="1"/>
  <c r="C920" i="1" s="1"/>
  <c r="C921" i="1" s="1"/>
  <c r="C922" i="1" s="1"/>
  <c r="C923" i="1" s="1"/>
  <c r="C924" i="1" s="1"/>
  <c r="C925" i="1" s="1"/>
  <c r="C902" i="1"/>
  <c r="C903" i="1" s="1"/>
  <c r="C904" i="1" s="1"/>
  <c r="C905" i="1" s="1"/>
  <c r="C906" i="1" s="1"/>
  <c r="C907" i="1" s="1"/>
  <c r="C908" i="1" s="1"/>
  <c r="C909" i="1" s="1"/>
  <c r="C910" i="1" s="1"/>
  <c r="C911" i="1" s="1"/>
  <c r="C912" i="1" s="1"/>
  <c r="C913" i="1" s="1"/>
  <c r="C894" i="1"/>
  <c r="C895" i="1" s="1"/>
  <c r="C896" i="1" s="1"/>
  <c r="C897" i="1" s="1"/>
  <c r="C898" i="1" s="1"/>
  <c r="C899" i="1" s="1"/>
  <c r="C900" i="1" s="1"/>
  <c r="C901" i="1" s="1"/>
  <c r="C890" i="1"/>
  <c r="C891" i="1" s="1"/>
  <c r="C892" i="1" s="1"/>
  <c r="C893" i="1" s="1"/>
  <c r="C882" i="1"/>
  <c r="C883" i="1" s="1"/>
  <c r="C884" i="1" s="1"/>
  <c r="C885" i="1" s="1"/>
  <c r="C886" i="1" s="1"/>
  <c r="C887" i="1" s="1"/>
  <c r="C888" i="1" s="1"/>
  <c r="C889" i="1" s="1"/>
  <c r="C878" i="1"/>
  <c r="C879" i="1" s="1"/>
  <c r="C880" i="1" s="1"/>
  <c r="C881" i="1" s="1"/>
  <c r="C870" i="1"/>
  <c r="C871" i="1" s="1"/>
  <c r="C872" i="1" s="1"/>
  <c r="C873" i="1" s="1"/>
  <c r="C874" i="1" s="1"/>
  <c r="C875" i="1" s="1"/>
  <c r="C876" i="1" s="1"/>
  <c r="C877" i="1" s="1"/>
  <c r="C866" i="1"/>
  <c r="C867" i="1" s="1"/>
  <c r="C868" i="1" s="1"/>
  <c r="C869" i="1" s="1"/>
  <c r="E192" i="5"/>
  <c r="E191" i="5"/>
  <c r="E190" i="5"/>
  <c r="E189" i="5"/>
  <c r="E188" i="5"/>
  <c r="B188" i="5"/>
  <c r="E187" i="5"/>
  <c r="E186" i="5"/>
  <c r="E185" i="5"/>
  <c r="E184" i="5"/>
  <c r="E183" i="5"/>
  <c r="C183" i="5"/>
  <c r="C184" i="5" s="1"/>
  <c r="C185" i="5" s="1"/>
  <c r="C186" i="5" s="1"/>
  <c r="C187" i="5" s="1"/>
  <c r="C188" i="5" s="1"/>
  <c r="C189" i="5" s="1"/>
  <c r="C190" i="5" s="1"/>
  <c r="C191" i="5" s="1"/>
  <c r="C192" i="5" s="1"/>
  <c r="E182" i="5"/>
  <c r="C182" i="5"/>
  <c r="E181" i="5"/>
  <c r="E180" i="5"/>
  <c r="B180" i="5"/>
  <c r="E179" i="5"/>
  <c r="E178" i="5"/>
  <c r="E177" i="5"/>
  <c r="E176" i="5"/>
  <c r="E175" i="5"/>
  <c r="E174" i="5"/>
  <c r="E173" i="5"/>
  <c r="E172" i="5"/>
  <c r="B172" i="5"/>
  <c r="E171" i="5"/>
  <c r="E170" i="5"/>
  <c r="D170" i="5"/>
  <c r="C170" i="5"/>
  <c r="C171" i="5" s="1"/>
  <c r="C172" i="5" s="1"/>
  <c r="C173" i="5" s="1"/>
  <c r="C174" i="5" s="1"/>
  <c r="C175" i="5" s="1"/>
  <c r="C176" i="5" s="1"/>
  <c r="C177" i="5" s="1"/>
  <c r="C178" i="5" s="1"/>
  <c r="C179" i="5" s="1"/>
  <c r="C180" i="5" s="1"/>
  <c r="C181" i="5" s="1"/>
  <c r="E169" i="5"/>
  <c r="E168" i="5"/>
  <c r="B168" i="5"/>
  <c r="E167" i="5"/>
  <c r="B167" i="5"/>
  <c r="E166" i="5"/>
  <c r="B166" i="5"/>
  <c r="E165" i="5"/>
  <c r="B165" i="5"/>
  <c r="E164" i="5"/>
  <c r="B164" i="5"/>
  <c r="E163" i="5"/>
  <c r="B163" i="5"/>
  <c r="E162" i="5"/>
  <c r="B162" i="5"/>
  <c r="E161" i="5"/>
  <c r="B161" i="5"/>
  <c r="E160" i="5"/>
  <c r="B160" i="5"/>
  <c r="E159" i="5"/>
  <c r="C159" i="5"/>
  <c r="C160" i="5" s="1"/>
  <c r="C161" i="5" s="1"/>
  <c r="C162" i="5" s="1"/>
  <c r="C163" i="5" s="1"/>
  <c r="C164" i="5" s="1"/>
  <c r="C165" i="5" s="1"/>
  <c r="C166" i="5" s="1"/>
  <c r="C167" i="5" s="1"/>
  <c r="C168" i="5" s="1"/>
  <c r="C169" i="5" s="1"/>
  <c r="B159" i="5"/>
  <c r="E158" i="5"/>
  <c r="C158" i="5"/>
  <c r="B158" i="5"/>
  <c r="E157" i="5"/>
  <c r="B157" i="5"/>
  <c r="E156" i="5"/>
  <c r="B156" i="5"/>
  <c r="E155" i="5"/>
  <c r="B155" i="5"/>
  <c r="E154" i="5"/>
  <c r="B154" i="5"/>
  <c r="E153" i="5"/>
  <c r="B153" i="5"/>
  <c r="E152" i="5"/>
  <c r="B152" i="5"/>
  <c r="E151" i="5"/>
  <c r="B151" i="5"/>
  <c r="E150" i="5"/>
  <c r="B150" i="5"/>
  <c r="E149" i="5"/>
  <c r="B149" i="5"/>
  <c r="E148" i="5"/>
  <c r="C148" i="5"/>
  <c r="C149" i="5" s="1"/>
  <c r="C150" i="5" s="1"/>
  <c r="C151" i="5" s="1"/>
  <c r="C152" i="5" s="1"/>
  <c r="C153" i="5" s="1"/>
  <c r="C154" i="5" s="1"/>
  <c r="C155" i="5" s="1"/>
  <c r="C156" i="5" s="1"/>
  <c r="C157" i="5" s="1"/>
  <c r="B148" i="5"/>
  <c r="E147" i="5"/>
  <c r="C147" i="5"/>
  <c r="B147" i="5"/>
  <c r="E146" i="5"/>
  <c r="D146" i="5"/>
  <c r="C146" i="5"/>
  <c r="B146" i="5"/>
  <c r="E145" i="5"/>
  <c r="B145" i="5"/>
  <c r="B144" i="5"/>
  <c r="B192" i="5" s="1"/>
  <c r="B143" i="5"/>
  <c r="B191" i="5" s="1"/>
  <c r="B142" i="5"/>
  <c r="B190" i="5" s="1"/>
  <c r="B141" i="5"/>
  <c r="B189" i="5" s="1"/>
  <c r="B140" i="5"/>
  <c r="B139" i="5"/>
  <c r="B138" i="5"/>
  <c r="B186" i="5" s="1"/>
  <c r="B137" i="5"/>
  <c r="B136" i="5"/>
  <c r="B184" i="5" s="1"/>
  <c r="C135" i="5"/>
  <c r="C136" i="5" s="1"/>
  <c r="B135" i="5"/>
  <c r="B183" i="5" s="1"/>
  <c r="C134" i="5"/>
  <c r="B134" i="5"/>
  <c r="B182" i="5" s="1"/>
  <c r="B133" i="5"/>
  <c r="B181" i="5" s="1"/>
  <c r="B132" i="5"/>
  <c r="B131" i="5"/>
  <c r="B130" i="5"/>
  <c r="B178" i="5" s="1"/>
  <c r="B129" i="5"/>
  <c r="B128" i="5"/>
  <c r="B176" i="5" s="1"/>
  <c r="B127" i="5"/>
  <c r="B175" i="5" s="1"/>
  <c r="B126" i="5"/>
  <c r="B174" i="5" s="1"/>
  <c r="B125" i="5"/>
  <c r="B173" i="5" s="1"/>
  <c r="B124" i="5"/>
  <c r="C123" i="5"/>
  <c r="C124" i="5" s="1"/>
  <c r="B123" i="5"/>
  <c r="D122" i="5"/>
  <c r="D123" i="5" s="1"/>
  <c r="D124" i="5" s="1"/>
  <c r="D125" i="5" s="1"/>
  <c r="D126" i="5" s="1"/>
  <c r="D127" i="5" s="1"/>
  <c r="D128" i="5" s="1"/>
  <c r="D129" i="5" s="1"/>
  <c r="D130" i="5" s="1"/>
  <c r="D131" i="5" s="1"/>
  <c r="D132" i="5" s="1"/>
  <c r="C122" i="5"/>
  <c r="B122" i="5"/>
  <c r="B170" i="5" s="1"/>
  <c r="D121" i="5"/>
  <c r="B121" i="5"/>
  <c r="B169" i="5" s="1"/>
  <c r="D110" i="5"/>
  <c r="D111" i="5" s="1"/>
  <c r="D112" i="5" s="1"/>
  <c r="D113" i="5" s="1"/>
  <c r="D114" i="5" s="1"/>
  <c r="D115" i="5" s="1"/>
  <c r="D116" i="5" s="1"/>
  <c r="D117" i="5" s="1"/>
  <c r="D118" i="5" s="1"/>
  <c r="D119" i="5" s="1"/>
  <c r="D120" i="5" s="1"/>
  <c r="C110" i="5"/>
  <c r="D158" i="5" s="1"/>
  <c r="D109" i="5"/>
  <c r="D133" i="5" s="1"/>
  <c r="D134" i="5" s="1"/>
  <c r="D135" i="5" s="1"/>
  <c r="A100" i="5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D99" i="5"/>
  <c r="D100" i="5" s="1"/>
  <c r="D101" i="5" s="1"/>
  <c r="D102" i="5" s="1"/>
  <c r="D103" i="5" s="1"/>
  <c r="D104" i="5" s="1"/>
  <c r="D105" i="5" s="1"/>
  <c r="D106" i="5" s="1"/>
  <c r="D107" i="5" s="1"/>
  <c r="D108" i="5" s="1"/>
  <c r="A99" i="5"/>
  <c r="D98" i="5"/>
  <c r="C98" i="5"/>
  <c r="C99" i="5" s="1"/>
  <c r="A98" i="5"/>
  <c r="C97" i="5"/>
  <c r="C3" i="1"/>
  <c r="C4" i="1" s="1"/>
  <c r="C5" i="1" s="1"/>
  <c r="C6" i="1" s="1"/>
  <c r="C7" i="1" s="1"/>
  <c r="C8" i="1" s="1"/>
  <c r="C9" i="1" s="1"/>
  <c r="C10" i="1" s="1"/>
  <c r="C11" i="1" s="1"/>
  <c r="C12" i="1" s="1"/>
  <c r="C13" i="1" s="1"/>
  <c r="C14" i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/>
  <c r="C27" i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/>
  <c r="C51" i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/>
  <c r="C63" i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/>
  <c r="C75" i="1"/>
  <c r="C76" i="1" s="1"/>
  <c r="C77" i="1"/>
  <c r="C78" i="1" s="1"/>
  <c r="C79" i="1" s="1"/>
  <c r="C80" i="1" s="1"/>
  <c r="C81" i="1" s="1"/>
  <c r="C82" i="1" s="1"/>
  <c r="C83" i="1" s="1"/>
  <c r="C84" i="1" s="1"/>
  <c r="C85" i="1" s="1"/>
  <c r="C86" i="1"/>
  <c r="C87" i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/>
  <c r="C99" i="1"/>
  <c r="C100" i="1" s="1"/>
  <c r="C101" i="1"/>
  <c r="C102" i="1" s="1"/>
  <c r="C103" i="1" s="1"/>
  <c r="C104" i="1" s="1"/>
  <c r="C105" i="1" s="1"/>
  <c r="C106" i="1" s="1"/>
  <c r="C107" i="1" s="1"/>
  <c r="C108" i="1" s="1"/>
  <c r="C109" i="1" s="1"/>
  <c r="C110" i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/>
  <c r="C123" i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/>
  <c r="C147" i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/>
  <c r="C159" i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/>
  <c r="C171" i="1"/>
  <c r="C172" i="1" s="1"/>
  <c r="C173" i="1"/>
  <c r="C174" i="1" s="1"/>
  <c r="C175" i="1" s="1"/>
  <c r="C176" i="1" s="1"/>
  <c r="C177" i="1" s="1"/>
  <c r="C178" i="1" s="1"/>
  <c r="C179" i="1" s="1"/>
  <c r="C180" i="1" s="1"/>
  <c r="C181" i="1" s="1"/>
  <c r="C182" i="1"/>
  <c r="C183" i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/>
  <c r="C195" i="1"/>
  <c r="C196" i="1" s="1"/>
  <c r="C197" i="1"/>
  <c r="C198" i="1" s="1"/>
  <c r="C199" i="1" s="1"/>
  <c r="C200" i="1" s="1"/>
  <c r="C201" i="1" s="1"/>
  <c r="C202" i="1" s="1"/>
  <c r="C203" i="1" s="1"/>
  <c r="C204" i="1" s="1"/>
  <c r="C205" i="1" s="1"/>
  <c r="C206" i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/>
  <c r="C219" i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/>
  <c r="C243" i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/>
  <c r="C255" i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/>
  <c r="C267" i="1"/>
  <c r="C268" i="1" s="1"/>
  <c r="C269" i="1"/>
  <c r="C270" i="1" s="1"/>
  <c r="C271" i="1" s="1"/>
  <c r="C272" i="1" s="1"/>
  <c r="C273" i="1" s="1"/>
  <c r="C274" i="1" s="1"/>
  <c r="C275" i="1" s="1"/>
  <c r="C276" i="1" s="1"/>
  <c r="C277" i="1" s="1"/>
  <c r="C278" i="1"/>
  <c r="C279" i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/>
  <c r="C291" i="1"/>
  <c r="C292" i="1" s="1"/>
  <c r="C293" i="1"/>
  <c r="C294" i="1" s="1"/>
  <c r="C295" i="1" s="1"/>
  <c r="C296" i="1" s="1"/>
  <c r="C297" i="1" s="1"/>
  <c r="C298" i="1" s="1"/>
  <c r="C299" i="1" s="1"/>
  <c r="C300" i="1" s="1"/>
  <c r="C301" i="1" s="1"/>
  <c r="C302" i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/>
  <c r="C315" i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/>
  <c r="C339" i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/>
  <c r="C351" i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/>
  <c r="C363" i="1"/>
  <c r="C364" i="1" s="1"/>
  <c r="C365" i="1"/>
  <c r="C366" i="1" s="1"/>
  <c r="C367" i="1" s="1"/>
  <c r="C368" i="1" s="1"/>
  <c r="C369" i="1" s="1"/>
  <c r="C370" i="1" s="1"/>
  <c r="C371" i="1" s="1"/>
  <c r="C372" i="1" s="1"/>
  <c r="C373" i="1" s="1"/>
  <c r="C374" i="1"/>
  <c r="C375" i="1"/>
  <c r="C376" i="1" s="1"/>
  <c r="C377" i="1" s="1"/>
  <c r="C378" i="1" s="1"/>
  <c r="C379" i="1" s="1"/>
  <c r="C380" i="1" s="1"/>
  <c r="C381" i="1" s="1"/>
  <c r="C382" i="1" s="1"/>
  <c r="C383" i="1" s="1"/>
  <c r="C384" i="1" s="1"/>
  <c r="C385" i="1" s="1"/>
  <c r="C386" i="1"/>
  <c r="C387" i="1"/>
  <c r="C388" i="1" s="1"/>
  <c r="C389" i="1"/>
  <c r="C390" i="1" s="1"/>
  <c r="C391" i="1" s="1"/>
  <c r="C392" i="1" s="1"/>
  <c r="C393" i="1" s="1"/>
  <c r="C394" i="1" s="1"/>
  <c r="C395" i="1" s="1"/>
  <c r="C396" i="1" s="1"/>
  <c r="C397" i="1" s="1"/>
  <c r="C398" i="1"/>
  <c r="C399" i="1" s="1"/>
  <c r="C400" i="1" s="1"/>
  <c r="C401" i="1" s="1"/>
  <c r="C402" i="1" s="1"/>
  <c r="C403" i="1" s="1"/>
  <c r="C404" i="1" s="1"/>
  <c r="C405" i="1" s="1"/>
  <c r="C406" i="1" s="1"/>
  <c r="C407" i="1" s="1"/>
  <c r="C408" i="1" s="1"/>
  <c r="C409" i="1" s="1"/>
  <c r="C410" i="1"/>
  <c r="C411" i="1"/>
  <c r="C412" i="1" s="1"/>
  <c r="C413" i="1" s="1"/>
  <c r="C414" i="1" s="1"/>
  <c r="C415" i="1" s="1"/>
  <c r="C416" i="1" s="1"/>
  <c r="C417" i="1" s="1"/>
  <c r="C418" i="1" s="1"/>
  <c r="C419" i="1" s="1"/>
  <c r="C420" i="1" s="1"/>
  <c r="C421" i="1" s="1"/>
  <c r="C422" i="1"/>
  <c r="C423" i="1" s="1"/>
  <c r="C424" i="1" s="1"/>
  <c r="C425" i="1" s="1"/>
  <c r="C426" i="1" s="1"/>
  <c r="C427" i="1" s="1"/>
  <c r="C428" i="1" s="1"/>
  <c r="C429" i="1" s="1"/>
  <c r="C430" i="1" s="1"/>
  <c r="C431" i="1" s="1"/>
  <c r="C432" i="1" s="1"/>
  <c r="C433" i="1" s="1"/>
  <c r="C434" i="1"/>
  <c r="C435" i="1"/>
  <c r="C436" i="1" s="1"/>
  <c r="C437" i="1"/>
  <c r="C438" i="1" s="1"/>
  <c r="C439" i="1" s="1"/>
  <c r="C440" i="1" s="1"/>
  <c r="C441" i="1" s="1"/>
  <c r="C442" i="1" s="1"/>
  <c r="C443" i="1" s="1"/>
  <c r="C444" i="1" s="1"/>
  <c r="C445" i="1" s="1"/>
  <c r="C446" i="1"/>
  <c r="C447" i="1" s="1"/>
  <c r="C448" i="1" s="1"/>
  <c r="C449" i="1" s="1"/>
  <c r="C450" i="1" s="1"/>
  <c r="C451" i="1" s="1"/>
  <c r="C452" i="1" s="1"/>
  <c r="C453" i="1" s="1"/>
  <c r="C454" i="1" s="1"/>
  <c r="C455" i="1" s="1"/>
  <c r="C456" i="1" s="1"/>
  <c r="C457" i="1" s="1"/>
  <c r="C458" i="1"/>
  <c r="C459" i="1"/>
  <c r="C460" i="1" s="1"/>
  <c r="C461" i="1"/>
  <c r="C462" i="1" s="1"/>
  <c r="C463" i="1" s="1"/>
  <c r="C464" i="1" s="1"/>
  <c r="C465" i="1" s="1"/>
  <c r="C466" i="1" s="1"/>
  <c r="C467" i="1" s="1"/>
  <c r="C468" i="1" s="1"/>
  <c r="C469" i="1" s="1"/>
  <c r="C470" i="1"/>
  <c r="C471" i="1" s="1"/>
  <c r="C472" i="1" s="1"/>
  <c r="C473" i="1" s="1"/>
  <c r="C474" i="1" s="1"/>
  <c r="C475" i="1" s="1"/>
  <c r="C476" i="1" s="1"/>
  <c r="C477" i="1" s="1"/>
  <c r="C478" i="1" s="1"/>
  <c r="C479" i="1" s="1"/>
  <c r="C480" i="1" s="1"/>
  <c r="C481" i="1" s="1"/>
  <c r="C482" i="1"/>
  <c r="C483" i="1"/>
  <c r="C484" i="1" s="1"/>
  <c r="C485" i="1"/>
  <c r="C486" i="1" s="1"/>
  <c r="C487" i="1" s="1"/>
  <c r="C488" i="1" s="1"/>
  <c r="C489" i="1" s="1"/>
  <c r="C490" i="1" s="1"/>
  <c r="C491" i="1" s="1"/>
  <c r="C492" i="1" s="1"/>
  <c r="C493" i="1" s="1"/>
  <c r="C494" i="1"/>
  <c r="C495" i="1" s="1"/>
  <c r="C496" i="1" s="1"/>
  <c r="C497" i="1" s="1"/>
  <c r="C498" i="1" s="1"/>
  <c r="C499" i="1" s="1"/>
  <c r="C500" i="1" s="1"/>
  <c r="C501" i="1" s="1"/>
  <c r="C502" i="1" s="1"/>
  <c r="C503" i="1" s="1"/>
  <c r="C504" i="1" s="1"/>
  <c r="C505" i="1" s="1"/>
  <c r="C506" i="1"/>
  <c r="C507" i="1"/>
  <c r="C508" i="1" s="1"/>
  <c r="C509" i="1"/>
  <c r="C510" i="1" s="1"/>
  <c r="C511" i="1" s="1"/>
  <c r="C512" i="1" s="1"/>
  <c r="C513" i="1" s="1"/>
  <c r="C514" i="1" s="1"/>
  <c r="C515" i="1" s="1"/>
  <c r="C516" i="1" s="1"/>
  <c r="C517" i="1" s="1"/>
  <c r="C518" i="1"/>
  <c r="C519" i="1" s="1"/>
  <c r="C520" i="1" s="1"/>
  <c r="C521" i="1" s="1"/>
  <c r="C522" i="1" s="1"/>
  <c r="C523" i="1" s="1"/>
  <c r="C524" i="1" s="1"/>
  <c r="C525" i="1" s="1"/>
  <c r="C526" i="1" s="1"/>
  <c r="C527" i="1" s="1"/>
  <c r="C528" i="1" s="1"/>
  <c r="C529" i="1" s="1"/>
  <c r="C530" i="1"/>
  <c r="C531" i="1"/>
  <c r="C532" i="1" s="1"/>
  <c r="C533" i="1"/>
  <c r="C534" i="1" s="1"/>
  <c r="C535" i="1" s="1"/>
  <c r="C536" i="1" s="1"/>
  <c r="C537" i="1" s="1"/>
  <c r="C538" i="1" s="1"/>
  <c r="C539" i="1" s="1"/>
  <c r="C540" i="1" s="1"/>
  <c r="C541" i="1" s="1"/>
  <c r="C542" i="1"/>
  <c r="C543" i="1" s="1"/>
  <c r="C544" i="1" s="1"/>
  <c r="C545" i="1" s="1"/>
  <c r="C546" i="1" s="1"/>
  <c r="C547" i="1" s="1"/>
  <c r="C548" i="1" s="1"/>
  <c r="C549" i="1" s="1"/>
  <c r="C550" i="1" s="1"/>
  <c r="C551" i="1" s="1"/>
  <c r="C552" i="1" s="1"/>
  <c r="C553" i="1" s="1"/>
  <c r="C554" i="1"/>
  <c r="C555" i="1"/>
  <c r="C556" i="1" s="1"/>
  <c r="C557" i="1"/>
  <c r="C558" i="1" s="1"/>
  <c r="C559" i="1" s="1"/>
  <c r="C560" i="1" s="1"/>
  <c r="C561" i="1" s="1"/>
  <c r="C562" i="1" s="1"/>
  <c r="C563" i="1" s="1"/>
  <c r="C564" i="1" s="1"/>
  <c r="C565" i="1" s="1"/>
  <c r="C566" i="1"/>
  <c r="C567" i="1" s="1"/>
  <c r="C568" i="1" s="1"/>
  <c r="C569" i="1" s="1"/>
  <c r="C570" i="1" s="1"/>
  <c r="C571" i="1" s="1"/>
  <c r="C572" i="1" s="1"/>
  <c r="C573" i="1" s="1"/>
  <c r="C574" i="1" s="1"/>
  <c r="C575" i="1" s="1"/>
  <c r="C576" i="1" s="1"/>
  <c r="C577" i="1" s="1"/>
  <c r="C578" i="1"/>
  <c r="C579" i="1"/>
  <c r="C580" i="1" s="1"/>
  <c r="C581" i="1"/>
  <c r="C582" i="1" s="1"/>
  <c r="C583" i="1" s="1"/>
  <c r="C584" i="1" s="1"/>
  <c r="C585" i="1" s="1"/>
  <c r="C586" i="1" s="1"/>
  <c r="C587" i="1" s="1"/>
  <c r="C588" i="1" s="1"/>
  <c r="C589" i="1" s="1"/>
  <c r="C590" i="1"/>
  <c r="C591" i="1" s="1"/>
  <c r="C592" i="1" s="1"/>
  <c r="C593" i="1" s="1"/>
  <c r="C594" i="1" s="1"/>
  <c r="C595" i="1" s="1"/>
  <c r="C596" i="1" s="1"/>
  <c r="C597" i="1" s="1"/>
  <c r="C598" i="1" s="1"/>
  <c r="C599" i="1" s="1"/>
  <c r="C600" i="1" s="1"/>
  <c r="C601" i="1" s="1"/>
  <c r="C602" i="1"/>
  <c r="C603" i="1"/>
  <c r="C604" i="1" s="1"/>
  <c r="C605" i="1"/>
  <c r="C606" i="1" s="1"/>
  <c r="C607" i="1" s="1"/>
  <c r="C608" i="1" s="1"/>
  <c r="C609" i="1" s="1"/>
  <c r="C610" i="1" s="1"/>
  <c r="C611" i="1" s="1"/>
  <c r="C612" i="1" s="1"/>
  <c r="C613" i="1" s="1"/>
  <c r="C614" i="1"/>
  <c r="C615" i="1" s="1"/>
  <c r="C616" i="1" s="1"/>
  <c r="C617" i="1" s="1"/>
  <c r="C618" i="1" s="1"/>
  <c r="C619" i="1" s="1"/>
  <c r="C620" i="1" s="1"/>
  <c r="C621" i="1" s="1"/>
  <c r="C622" i="1" s="1"/>
  <c r="C623" i="1" s="1"/>
  <c r="C624" i="1" s="1"/>
  <c r="C625" i="1" s="1"/>
  <c r="C626" i="1"/>
  <c r="C627" i="1"/>
  <c r="C628" i="1" s="1"/>
  <c r="C629" i="1"/>
  <c r="C630" i="1" s="1"/>
  <c r="C631" i="1" s="1"/>
  <c r="C632" i="1" s="1"/>
  <c r="C633" i="1" s="1"/>
  <c r="C634" i="1" s="1"/>
  <c r="C635" i="1" s="1"/>
  <c r="C636" i="1" s="1"/>
  <c r="C637" i="1" s="1"/>
  <c r="C638" i="1"/>
  <c r="C639" i="1"/>
  <c r="C640" i="1" s="1"/>
  <c r="C641" i="1" s="1"/>
  <c r="C642" i="1" s="1"/>
  <c r="C643" i="1" s="1"/>
  <c r="C644" i="1" s="1"/>
  <c r="C645" i="1" s="1"/>
  <c r="C646" i="1" s="1"/>
  <c r="C647" i="1" s="1"/>
  <c r="C648" i="1" s="1"/>
  <c r="C649" i="1" s="1"/>
  <c r="C650" i="1"/>
  <c r="C651" i="1"/>
  <c r="C652" i="1" s="1"/>
  <c r="C653" i="1"/>
  <c r="C654" i="1" s="1"/>
  <c r="C655" i="1" s="1"/>
  <c r="C656" i="1" s="1"/>
  <c r="C657" i="1" s="1"/>
  <c r="C658" i="1" s="1"/>
  <c r="C659" i="1" s="1"/>
  <c r="C660" i="1" s="1"/>
  <c r="C661" i="1" s="1"/>
  <c r="C662" i="1"/>
  <c r="C663" i="1"/>
  <c r="C664" i="1" s="1"/>
  <c r="C665" i="1" s="1"/>
  <c r="C666" i="1" s="1"/>
  <c r="C667" i="1" s="1"/>
  <c r="C668" i="1" s="1"/>
  <c r="C669" i="1" s="1"/>
  <c r="C670" i="1" s="1"/>
  <c r="C671" i="1" s="1"/>
  <c r="C672" i="1" s="1"/>
  <c r="C673" i="1" s="1"/>
  <c r="C674" i="1"/>
  <c r="C675" i="1"/>
  <c r="C676" i="1" s="1"/>
  <c r="C677" i="1" s="1"/>
  <c r="C678" i="1" s="1"/>
  <c r="C679" i="1" s="1"/>
  <c r="C680" i="1" s="1"/>
  <c r="C681" i="1" s="1"/>
  <c r="C682" i="1" s="1"/>
  <c r="C683" i="1" s="1"/>
  <c r="C684" i="1" s="1"/>
  <c r="C685" i="1" s="1"/>
  <c r="C686" i="1"/>
  <c r="C687" i="1" s="1"/>
  <c r="C688" i="1" s="1"/>
  <c r="C689" i="1" s="1"/>
  <c r="C690" i="1" s="1"/>
  <c r="C691" i="1" s="1"/>
  <c r="C692" i="1" s="1"/>
  <c r="C693" i="1" s="1"/>
  <c r="C694" i="1" s="1"/>
  <c r="C695" i="1" s="1"/>
  <c r="C696" i="1" s="1"/>
  <c r="C697" i="1" s="1"/>
  <c r="C698" i="1"/>
  <c r="C699" i="1"/>
  <c r="C700" i="1"/>
  <c r="C701" i="1" s="1"/>
  <c r="C702" i="1" s="1"/>
  <c r="C703" i="1" s="1"/>
  <c r="C704" i="1" s="1"/>
  <c r="C705" i="1" s="1"/>
  <c r="C706" i="1" s="1"/>
  <c r="C707" i="1" s="1"/>
  <c r="C708" i="1" s="1"/>
  <c r="C709" i="1" s="1"/>
  <c r="C710" i="1"/>
  <c r="C711" i="1"/>
  <c r="C712" i="1" s="1"/>
  <c r="C713" i="1" s="1"/>
  <c r="C714" i="1" s="1"/>
  <c r="C715" i="1" s="1"/>
  <c r="C716" i="1" s="1"/>
  <c r="C717" i="1" s="1"/>
  <c r="C718" i="1" s="1"/>
  <c r="C719" i="1" s="1"/>
  <c r="C720" i="1" s="1"/>
  <c r="C721" i="1" s="1"/>
  <c r="C722" i="1"/>
  <c r="C723" i="1"/>
  <c r="C724" i="1" s="1"/>
  <c r="C725" i="1" s="1"/>
  <c r="C726" i="1" s="1"/>
  <c r="C727" i="1" s="1"/>
  <c r="C728" i="1" s="1"/>
  <c r="C729" i="1" s="1"/>
  <c r="C730" i="1" s="1"/>
  <c r="C731" i="1" s="1"/>
  <c r="C732" i="1" s="1"/>
  <c r="C733" i="1" s="1"/>
  <c r="C734" i="1"/>
  <c r="C735" i="1"/>
  <c r="C736" i="1" s="1"/>
  <c r="C737" i="1" s="1"/>
  <c r="C738" i="1" s="1"/>
  <c r="C739" i="1" s="1"/>
  <c r="C740" i="1" s="1"/>
  <c r="C741" i="1" s="1"/>
  <c r="C742" i="1" s="1"/>
  <c r="C743" i="1" s="1"/>
  <c r="C744" i="1" s="1"/>
  <c r="C745" i="1" s="1"/>
  <c r="C746" i="1"/>
  <c r="C747" i="1"/>
  <c r="C748" i="1" s="1"/>
  <c r="C749" i="1" s="1"/>
  <c r="C750" i="1" s="1"/>
  <c r="C751" i="1" s="1"/>
  <c r="C752" i="1" s="1"/>
  <c r="C753" i="1" s="1"/>
  <c r="C754" i="1" s="1"/>
  <c r="C755" i="1" s="1"/>
  <c r="C756" i="1" s="1"/>
  <c r="C757" i="1" s="1"/>
  <c r="C758" i="1"/>
  <c r="C759" i="1" s="1"/>
  <c r="C760" i="1" s="1"/>
  <c r="C761" i="1" s="1"/>
  <c r="C762" i="1" s="1"/>
  <c r="C763" i="1" s="1"/>
  <c r="C764" i="1" s="1"/>
  <c r="C765" i="1" s="1"/>
  <c r="C766" i="1" s="1"/>
  <c r="C767" i="1" s="1"/>
  <c r="C768" i="1" s="1"/>
  <c r="C769" i="1" s="1"/>
  <c r="C770" i="1"/>
  <c r="C771" i="1"/>
  <c r="C772" i="1"/>
  <c r="C773" i="1" s="1"/>
  <c r="C774" i="1" s="1"/>
  <c r="C775" i="1" s="1"/>
  <c r="C776" i="1" s="1"/>
  <c r="C777" i="1" s="1"/>
  <c r="C778" i="1" s="1"/>
  <c r="C779" i="1" s="1"/>
  <c r="C780" i="1" s="1"/>
  <c r="C781" i="1" s="1"/>
  <c r="C782" i="1"/>
  <c r="C783" i="1" s="1"/>
  <c r="C784" i="1" s="1"/>
  <c r="C785" i="1" s="1"/>
  <c r="C786" i="1" s="1"/>
  <c r="C787" i="1" s="1"/>
  <c r="C788" i="1" s="1"/>
  <c r="C789" i="1" s="1"/>
  <c r="C790" i="1" s="1"/>
  <c r="C791" i="1" s="1"/>
  <c r="C792" i="1" s="1"/>
  <c r="C793" i="1" s="1"/>
  <c r="C794" i="1"/>
  <c r="C795" i="1"/>
  <c r="C796" i="1"/>
  <c r="C797" i="1" s="1"/>
  <c r="C798" i="1" s="1"/>
  <c r="C799" i="1" s="1"/>
  <c r="C800" i="1" s="1"/>
  <c r="C801" i="1" s="1"/>
  <c r="C802" i="1" s="1"/>
  <c r="C803" i="1" s="1"/>
  <c r="C804" i="1" s="1"/>
  <c r="C805" i="1" s="1"/>
  <c r="C806" i="1"/>
  <c r="C807" i="1"/>
  <c r="C808" i="1" s="1"/>
  <c r="C809" i="1" s="1"/>
  <c r="C810" i="1" s="1"/>
  <c r="C811" i="1" s="1"/>
  <c r="C812" i="1" s="1"/>
  <c r="C813" i="1" s="1"/>
  <c r="C814" i="1" s="1"/>
  <c r="C815" i="1" s="1"/>
  <c r="C816" i="1" s="1"/>
  <c r="C817" i="1" s="1"/>
  <c r="C818" i="1"/>
  <c r="C819" i="1"/>
  <c r="C820" i="1" s="1"/>
  <c r="C821" i="1" s="1"/>
  <c r="C822" i="1" s="1"/>
  <c r="C823" i="1" s="1"/>
  <c r="C824" i="1" s="1"/>
  <c r="C825" i="1" s="1"/>
  <c r="C826" i="1" s="1"/>
  <c r="C827" i="1" s="1"/>
  <c r="C828" i="1" s="1"/>
  <c r="C829" i="1" s="1"/>
  <c r="C830" i="1"/>
  <c r="C831" i="1"/>
  <c r="C832" i="1" s="1"/>
  <c r="C833" i="1"/>
  <c r="C834" i="1" s="1"/>
  <c r="C835" i="1" s="1"/>
  <c r="C836" i="1" s="1"/>
  <c r="C837" i="1" s="1"/>
  <c r="C838" i="1" s="1"/>
  <c r="C839" i="1" s="1"/>
  <c r="C840" i="1" s="1"/>
  <c r="C841" i="1"/>
  <c r="C842" i="1"/>
  <c r="C843" i="1" s="1"/>
  <c r="C844" i="1" s="1"/>
  <c r="C845" i="1" s="1"/>
  <c r="C846" i="1" s="1"/>
  <c r="C847" i="1" s="1"/>
  <c r="C848" i="1" s="1"/>
  <c r="C849" i="1" s="1"/>
  <c r="C850" i="1" s="1"/>
  <c r="C851" i="1" s="1"/>
  <c r="C852" i="1" s="1"/>
  <c r="C853" i="1" s="1"/>
  <c r="C854" i="1"/>
  <c r="C855" i="1"/>
  <c r="C856" i="1" s="1"/>
  <c r="C857" i="1" s="1"/>
  <c r="C858" i="1" s="1"/>
  <c r="C859" i="1" s="1"/>
  <c r="C860" i="1" s="1"/>
  <c r="C861" i="1" s="1"/>
  <c r="C862" i="1" s="1"/>
  <c r="C863" i="1" s="1"/>
  <c r="C864" i="1" s="1"/>
  <c r="C865" i="1" s="1"/>
  <c r="C2" i="1"/>
  <c r="D136" i="5" l="1"/>
  <c r="D137" i="5" s="1"/>
  <c r="D138" i="5" s="1"/>
  <c r="D139" i="5" s="1"/>
  <c r="D140" i="5" s="1"/>
  <c r="D141" i="5" s="1"/>
  <c r="D142" i="5" s="1"/>
  <c r="D143" i="5" s="1"/>
  <c r="D144" i="5" s="1"/>
  <c r="D183" i="5"/>
  <c r="D184" i="5"/>
  <c r="C137" i="5"/>
  <c r="D147" i="5"/>
  <c r="C100" i="5"/>
  <c r="A124" i="5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D172" i="5"/>
  <c r="C125" i="5"/>
  <c r="D182" i="5"/>
  <c r="B177" i="5"/>
  <c r="B185" i="5"/>
  <c r="C111" i="5"/>
  <c r="B171" i="5"/>
  <c r="B179" i="5"/>
  <c r="B187" i="5"/>
  <c r="A122" i="5"/>
  <c r="A123" i="5" s="1"/>
  <c r="D171" i="5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50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97" i="3" s="1"/>
  <c r="B48" i="3"/>
  <c r="B96" i="3" s="1"/>
  <c r="B47" i="3"/>
  <c r="B95" i="3" s="1"/>
  <c r="B46" i="3"/>
  <c r="B94" i="3" s="1"/>
  <c r="B45" i="3"/>
  <c r="B93" i="3" s="1"/>
  <c r="B44" i="3"/>
  <c r="B92" i="3" s="1"/>
  <c r="B43" i="3"/>
  <c r="B91" i="3" s="1"/>
  <c r="B42" i="3"/>
  <c r="B90" i="3" s="1"/>
  <c r="B41" i="3"/>
  <c r="B89" i="3" s="1"/>
  <c r="B40" i="3"/>
  <c r="B88" i="3" s="1"/>
  <c r="B39" i="3"/>
  <c r="B87" i="3" s="1"/>
  <c r="B38" i="3"/>
  <c r="B86" i="3" s="1"/>
  <c r="B37" i="3"/>
  <c r="B85" i="3" s="1"/>
  <c r="B36" i="3"/>
  <c r="B84" i="3" s="1"/>
  <c r="B35" i="3"/>
  <c r="B83" i="3" s="1"/>
  <c r="B34" i="3"/>
  <c r="B82" i="3" s="1"/>
  <c r="B33" i="3"/>
  <c r="B81" i="3" s="1"/>
  <c r="B32" i="3"/>
  <c r="B80" i="3" s="1"/>
  <c r="B31" i="3"/>
  <c r="B79" i="3" s="1"/>
  <c r="B30" i="3"/>
  <c r="B78" i="3" s="1"/>
  <c r="B29" i="3"/>
  <c r="B77" i="3" s="1"/>
  <c r="B28" i="3"/>
  <c r="B76" i="3" s="1"/>
  <c r="B27" i="3"/>
  <c r="B75" i="3" s="1"/>
  <c r="D26" i="3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B26" i="3"/>
  <c r="B74" i="3" s="1"/>
  <c r="D14" i="3"/>
  <c r="D3" i="3"/>
  <c r="D4" i="3" s="1"/>
  <c r="D5" i="3" s="1"/>
  <c r="D6" i="3" s="1"/>
  <c r="D7" i="3" s="1"/>
  <c r="D8" i="3" s="1"/>
  <c r="D9" i="3" s="1"/>
  <c r="D10" i="3" s="1"/>
  <c r="D11" i="3" s="1"/>
  <c r="D12" i="3" s="1"/>
  <c r="D13" i="3" s="1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C2" i="3"/>
  <c r="C3" i="3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C138" i="5" l="1"/>
  <c r="D185" i="5"/>
  <c r="C101" i="5"/>
  <c r="D148" i="5"/>
  <c r="A171" i="5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C112" i="5"/>
  <c r="D159" i="5"/>
  <c r="D173" i="5"/>
  <c r="C126" i="5"/>
  <c r="D50" i="3"/>
  <c r="A26" i="3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C4" i="3"/>
  <c r="D15" i="3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38" i="3"/>
  <c r="A26" i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D186" i="5" l="1"/>
  <c r="C139" i="5"/>
  <c r="C113" i="5"/>
  <c r="D160" i="5"/>
  <c r="D149" i="5"/>
  <c r="C102" i="5"/>
  <c r="D174" i="5"/>
  <c r="C127" i="5"/>
  <c r="C5" i="3"/>
  <c r="D39" i="3"/>
  <c r="A75" i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C128" i="5" l="1"/>
  <c r="D175" i="5"/>
  <c r="D150" i="5"/>
  <c r="C103" i="5"/>
  <c r="C114" i="5"/>
  <c r="D161" i="5"/>
  <c r="C140" i="5"/>
  <c r="D187" i="5"/>
  <c r="D40" i="3"/>
  <c r="C6" i="3"/>
  <c r="C115" i="5" l="1"/>
  <c r="D162" i="5"/>
  <c r="D151" i="5"/>
  <c r="C104" i="5"/>
  <c r="D188" i="5"/>
  <c r="C141" i="5"/>
  <c r="D176" i="5"/>
  <c r="C129" i="5"/>
  <c r="D41" i="3"/>
  <c r="C7" i="3"/>
  <c r="D152" i="5" l="1"/>
  <c r="C105" i="5"/>
  <c r="C130" i="5"/>
  <c r="D177" i="5"/>
  <c r="D189" i="5"/>
  <c r="C142" i="5"/>
  <c r="D163" i="5"/>
  <c r="C116" i="5"/>
  <c r="D42" i="3"/>
  <c r="C8" i="3"/>
  <c r="C117" i="5" l="1"/>
  <c r="D164" i="5"/>
  <c r="D178" i="5"/>
  <c r="C131" i="5"/>
  <c r="C106" i="5"/>
  <c r="D153" i="5"/>
  <c r="D190" i="5"/>
  <c r="C143" i="5"/>
  <c r="D43" i="3"/>
  <c r="C9" i="3"/>
  <c r="C107" i="5" l="1"/>
  <c r="D154" i="5"/>
  <c r="C132" i="5"/>
  <c r="D179" i="5"/>
  <c r="C144" i="5"/>
  <c r="D191" i="5"/>
  <c r="D165" i="5"/>
  <c r="C118" i="5"/>
  <c r="C10" i="3"/>
  <c r="D44" i="3"/>
  <c r="D192" i="5" l="1"/>
  <c r="C145" i="5"/>
  <c r="D145" i="5" s="1"/>
  <c r="D166" i="5"/>
  <c r="C119" i="5"/>
  <c r="D180" i="5"/>
  <c r="C133" i="5"/>
  <c r="D181" i="5" s="1"/>
  <c r="D155" i="5"/>
  <c r="C108" i="5"/>
  <c r="D45" i="3"/>
  <c r="C11" i="3"/>
  <c r="C120" i="5" l="1"/>
  <c r="D167" i="5"/>
  <c r="C109" i="5"/>
  <c r="D157" i="5" s="1"/>
  <c r="D156" i="5"/>
  <c r="D46" i="3"/>
  <c r="C12" i="3"/>
  <c r="D168" i="5" l="1"/>
  <c r="C121" i="5"/>
  <c r="D169" i="5" s="1"/>
  <c r="D47" i="3"/>
  <c r="C13" i="3"/>
  <c r="C14" i="3" l="1"/>
  <c r="D48" i="3"/>
  <c r="C15" i="3" l="1"/>
  <c r="D49" i="3"/>
  <c r="C16" i="3" l="1"/>
  <c r="C17" i="3" l="1"/>
  <c r="C18" i="3" l="1"/>
  <c r="C19" i="3" l="1"/>
  <c r="C20" i="3" l="1"/>
  <c r="C21" i="3" l="1"/>
  <c r="C22" i="3" l="1"/>
  <c r="C23" i="3" l="1"/>
  <c r="C24" i="3" l="1"/>
  <c r="C25" i="3" l="1"/>
  <c r="C26" i="3" l="1"/>
  <c r="C27" i="3" l="1"/>
  <c r="C28" i="3" l="1"/>
  <c r="C29" i="3" l="1"/>
  <c r="C30" i="3" l="1"/>
  <c r="C31" i="3" l="1"/>
  <c r="C32" i="3" l="1"/>
  <c r="C33" i="3" l="1"/>
  <c r="C34" i="3" l="1"/>
  <c r="C35" i="3" l="1"/>
  <c r="C36" i="3" l="1"/>
  <c r="C37" i="3" l="1"/>
  <c r="C38" i="3" l="1"/>
  <c r="C39" i="3" l="1"/>
  <c r="C40" i="3" l="1"/>
  <c r="C41" i="3" l="1"/>
  <c r="C42" i="3" l="1"/>
  <c r="C43" i="3" l="1"/>
  <c r="C44" i="3" l="1"/>
  <c r="C45" i="3" l="1"/>
  <c r="C46" i="3" l="1"/>
  <c r="C47" i="3" l="1"/>
  <c r="C48" i="3" l="1"/>
  <c r="C49" i="3" l="1"/>
  <c r="C50" i="3" l="1"/>
  <c r="C51" i="3" s="1"/>
  <c r="C52" i="3" l="1"/>
  <c r="D51" i="3"/>
  <c r="C53" i="3" l="1"/>
  <c r="D52" i="3"/>
  <c r="C54" i="3" l="1"/>
  <c r="D53" i="3"/>
  <c r="C55" i="3" l="1"/>
  <c r="D54" i="3"/>
  <c r="C56" i="3" l="1"/>
  <c r="D55" i="3"/>
  <c r="C57" i="3" l="1"/>
  <c r="D56" i="3"/>
  <c r="C58" i="3" l="1"/>
  <c r="D57" i="3"/>
  <c r="C59" i="3" l="1"/>
  <c r="D58" i="3"/>
  <c r="C60" i="3" l="1"/>
  <c r="D59" i="3"/>
  <c r="C61" i="3" l="1"/>
  <c r="D60" i="3"/>
  <c r="C62" i="3" l="1"/>
  <c r="D61" i="3"/>
  <c r="C63" i="3" l="1"/>
  <c r="D62" i="3"/>
  <c r="C64" i="3" l="1"/>
  <c r="D63" i="3"/>
  <c r="C65" i="3" l="1"/>
  <c r="D64" i="3"/>
  <c r="C66" i="3" l="1"/>
  <c r="D65" i="3"/>
  <c r="C67" i="3" l="1"/>
  <c r="D66" i="3"/>
  <c r="C68" i="3" l="1"/>
  <c r="D67" i="3"/>
  <c r="C69" i="3" l="1"/>
  <c r="D68" i="3"/>
  <c r="C70" i="3" l="1"/>
  <c r="D69" i="3"/>
  <c r="C71" i="3" l="1"/>
  <c r="D70" i="3"/>
  <c r="C72" i="3" l="1"/>
  <c r="D71" i="3"/>
  <c r="C73" i="3" l="1"/>
  <c r="D72" i="3"/>
  <c r="C74" i="3" l="1"/>
  <c r="D73" i="3"/>
  <c r="C75" i="3" l="1"/>
  <c r="D74" i="3"/>
  <c r="C76" i="3" l="1"/>
  <c r="D75" i="3"/>
  <c r="C77" i="3" l="1"/>
  <c r="D76" i="3"/>
  <c r="C78" i="3" l="1"/>
  <c r="D77" i="3"/>
  <c r="C79" i="3" l="1"/>
  <c r="D78" i="3"/>
  <c r="C80" i="3" l="1"/>
  <c r="D79" i="3"/>
  <c r="C81" i="3" l="1"/>
  <c r="D80" i="3"/>
  <c r="C82" i="3" l="1"/>
  <c r="D81" i="3"/>
  <c r="C83" i="3" l="1"/>
  <c r="D82" i="3"/>
  <c r="C84" i="3" l="1"/>
  <c r="D83" i="3"/>
  <c r="C85" i="3" l="1"/>
  <c r="D84" i="3"/>
  <c r="C86" i="3" l="1"/>
  <c r="D85" i="3"/>
  <c r="C87" i="3" l="1"/>
  <c r="D86" i="3"/>
  <c r="C88" i="3" l="1"/>
  <c r="D87" i="3"/>
  <c r="C89" i="3" l="1"/>
  <c r="D88" i="3"/>
  <c r="C90" i="3" l="1"/>
  <c r="D89" i="3"/>
  <c r="C91" i="3" l="1"/>
  <c r="D90" i="3"/>
  <c r="C92" i="3" l="1"/>
  <c r="D91" i="3"/>
  <c r="C93" i="3" l="1"/>
  <c r="D92" i="3"/>
  <c r="C94" i="3" l="1"/>
  <c r="D93" i="3"/>
  <c r="C95" i="3" l="1"/>
  <c r="D94" i="3"/>
  <c r="C96" i="3" l="1"/>
  <c r="D95" i="3"/>
  <c r="C97" i="3" l="1"/>
  <c r="D97" i="3" s="1"/>
  <c r="D96" i="3"/>
</calcChain>
</file>

<file path=xl/sharedStrings.xml><?xml version="1.0" encoding="utf-8"?>
<sst xmlns="http://schemas.openxmlformats.org/spreadsheetml/2006/main" count="6117" uniqueCount="19">
  <si>
    <t>brcid</t>
  </si>
  <si>
    <t>diagnosis</t>
  </si>
  <si>
    <t>date</t>
  </si>
  <si>
    <t>score</t>
  </si>
  <si>
    <t>gender</t>
  </si>
  <si>
    <t>schizo</t>
  </si>
  <si>
    <t>dementia</t>
  </si>
  <si>
    <t>male</t>
  </si>
  <si>
    <t>dementia: starts higher score, faster decline</t>
  </si>
  <si>
    <t>male: starts lower score, faster decline</t>
  </si>
  <si>
    <t>med: starts same score, slower decline</t>
  </si>
  <si>
    <t>med</t>
  </si>
  <si>
    <t>no</t>
  </si>
  <si>
    <t>female</t>
  </si>
  <si>
    <t>yes</t>
  </si>
  <si>
    <t>Row Labels</t>
  </si>
  <si>
    <t>Column Labels</t>
  </si>
  <si>
    <t>Average of score</t>
  </si>
  <si>
    <t>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</si>
</sst>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vertical="top" wrapText="1"/>
    </xf>
    <xf numFmtId="164" fontId="0" fillId="0" borderId="0" xfId="1" applyFont="1"/>
    <xf numFmtId="165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</cellXfs>
  <cellStyles count="2">
    <cellStyle name="Comma" xfId="1" builtinId="3"/>
    <cellStyle name="Normal" xfId="0" builtinId="0"/>
  </cellStyles>
  <dxfs count="29">
    <dxf>
      <font>
        <color rgb="FF00B0F0"/>
      </font>
    </dxf>
    <dxf>
      <font>
        <color theme="9"/>
      </font>
    </dxf>
    <dxf>
      <font>
        <color rgb="FFFF66FF"/>
      </font>
    </dxf>
    <dxf>
      <font>
        <color rgb="FF00B0F0"/>
      </font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FF66FF"/>
      </font>
    </dxf>
    <dxf>
      <font>
        <color rgb="FF9C0006"/>
      </font>
      <fill>
        <patternFill>
          <bgColor rgb="FFFFC7CE"/>
        </patternFill>
      </fill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00B0F0"/>
      </font>
    </dxf>
    <dxf>
      <font>
        <color theme="9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00B0F0"/>
      </font>
    </dxf>
    <dxf>
      <font>
        <color theme="9"/>
      </font>
    </dxf>
    <dxf>
      <font>
        <color rgb="FFFF66FF"/>
      </font>
    </dxf>
    <dxf>
      <font>
        <color theme="9"/>
      </font>
    </dxf>
    <dxf>
      <font>
        <color rgb="FFFF66FF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[trajectories_synthetic.xlsm]pivot!PivotTable1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pivot!$B$3:$B$4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pivot!$B$5:$B$16</c:f>
              <c:numCache>
                <c:formatCode>0.0</c:formatCode>
                <c:ptCount val="12"/>
                <c:pt idx="0">
                  <c:v>24</c:v>
                </c:pt>
                <c:pt idx="1">
                  <c:v>23</c:v>
                </c:pt>
                <c:pt idx="2">
                  <c:v>22</c:v>
                </c:pt>
                <c:pt idx="3">
                  <c:v>21</c:v>
                </c:pt>
                <c:pt idx="4">
                  <c:v>20</c:v>
                </c:pt>
                <c:pt idx="5">
                  <c:v>19</c:v>
                </c:pt>
                <c:pt idx="6">
                  <c:v>18</c:v>
                </c:pt>
                <c:pt idx="7">
                  <c:v>17</c:v>
                </c:pt>
                <c:pt idx="8">
                  <c:v>16</c:v>
                </c:pt>
                <c:pt idx="9">
                  <c:v>15</c:v>
                </c:pt>
                <c:pt idx="10">
                  <c:v>14</c:v>
                </c:pt>
                <c:pt idx="11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50-475F-B70F-B2FF07538479}"/>
            </c:ext>
          </c:extLst>
        </c:ser>
        <c:ser>
          <c:idx val="1"/>
          <c:order val="1"/>
          <c:tx>
            <c:strRef>
              <c:f>pivot!$C$3:$C$4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pivot!$C$5:$C$16</c:f>
              <c:numCache>
                <c:formatCode>0.0</c:formatCode>
                <c:ptCount val="12"/>
                <c:pt idx="0">
                  <c:v>26</c:v>
                </c:pt>
                <c:pt idx="1">
                  <c:v>24.5</c:v>
                </c:pt>
                <c:pt idx="2">
                  <c:v>23</c:v>
                </c:pt>
                <c:pt idx="3">
                  <c:v>21.5</c:v>
                </c:pt>
                <c:pt idx="4">
                  <c:v>20</c:v>
                </c:pt>
                <c:pt idx="5">
                  <c:v>18.5</c:v>
                </c:pt>
                <c:pt idx="6">
                  <c:v>17</c:v>
                </c:pt>
                <c:pt idx="7">
                  <c:v>15.5</c:v>
                </c:pt>
                <c:pt idx="8">
                  <c:v>14</c:v>
                </c:pt>
                <c:pt idx="9">
                  <c:v>12.5</c:v>
                </c:pt>
                <c:pt idx="10">
                  <c:v>11</c:v>
                </c:pt>
                <c:pt idx="11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50-475F-B70F-B2FF07538479}"/>
            </c:ext>
          </c:extLst>
        </c:ser>
        <c:ser>
          <c:idx val="2"/>
          <c:order val="2"/>
          <c:tx>
            <c:strRef>
              <c:f>pivot!$D$3:$D$4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pivot!$D$5:$D$16</c:f>
              <c:numCache>
                <c:formatCode>0.0</c:formatCode>
                <c:ptCount val="12"/>
                <c:pt idx="0">
                  <c:v>24</c:v>
                </c:pt>
                <c:pt idx="1">
                  <c:v>21.301029995663981</c:v>
                </c:pt>
                <c:pt idx="2">
                  <c:v>20.292429823902065</c:v>
                </c:pt>
                <c:pt idx="3">
                  <c:v>19.283996656365201</c:v>
                </c:pt>
                <c:pt idx="4">
                  <c:v>18.275724130399212</c:v>
                </c:pt>
                <c:pt idx="5">
                  <c:v>17.267606240177031</c:v>
                </c:pt>
                <c:pt idx="6">
                  <c:v>16.259637310505756</c:v>
                </c:pt>
                <c:pt idx="7">
                  <c:v>15.251811972993799</c:v>
                </c:pt>
                <c:pt idx="8">
                  <c:v>14.244125144327509</c:v>
                </c:pt>
                <c:pt idx="9">
                  <c:v>13.236572006437063</c:v>
                </c:pt>
                <c:pt idx="10">
                  <c:v>12.229147988357855</c:v>
                </c:pt>
                <c:pt idx="11">
                  <c:v>11.221848749616356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50-475F-B70F-B2FF07538479}"/>
            </c:ext>
          </c:extLst>
        </c:ser>
        <c:ser>
          <c:idx val="3"/>
          <c:order val="3"/>
          <c:tx>
            <c:strRef>
              <c:f>pivot!$E$3:$E$4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pivot!$E$5:$E$16</c:f>
              <c:numCache>
                <c:formatCode>0.0</c:formatCode>
                <c:ptCount val="12"/>
                <c:pt idx="0">
                  <c:v>24.214670164989233</c:v>
                </c:pt>
                <c:pt idx="1">
                  <c:v>22.707608310501747</c:v>
                </c:pt>
                <c:pt idx="2">
                  <c:v>21.200659450546418</c:v>
                </c:pt>
                <c:pt idx="3">
                  <c:v>19.693820026016112</c:v>
                </c:pt>
                <c:pt idx="4">
                  <c:v>18.187086643357144</c:v>
                </c:pt>
                <c:pt idx="5">
                  <c:v>16.680456064458131</c:v>
                </c:pt>
                <c:pt idx="6">
                  <c:v>15.173925197299173</c:v>
                </c:pt>
                <c:pt idx="7">
                  <c:v>13.667491087293763</c:v>
                </c:pt>
                <c:pt idx="8">
                  <c:v>12.161150909262744</c:v>
                </c:pt>
                <c:pt idx="9">
                  <c:v>10.654901959985743</c:v>
                </c:pt>
                <c:pt idx="10">
                  <c:v>9.1487416512809254</c:v>
                </c:pt>
                <c:pt idx="11">
                  <c:v>7.642667503568731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50-475F-B70F-B2FF07538479}"/>
            </c:ext>
          </c:extLst>
        </c:ser>
        <c:ser>
          <c:idx val="4"/>
          <c:order val="4"/>
          <c:tx>
            <c:strRef>
              <c:f>pivot!$F$3:$F$4</c:f>
              <c:strCache>
                <c:ptCount val="1"/>
                <c:pt idx="0">
                  <c:v>9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pivot!$F$5:$F$16</c:f>
              <c:numCache>
                <c:formatCode>0.0</c:formatCode>
                <c:ptCount val="12"/>
                <c:pt idx="0">
                  <c:v>22</c:v>
                </c:pt>
                <c:pt idx="1">
                  <c:v>21</c:v>
                </c:pt>
                <c:pt idx="2">
                  <c:v>20</c:v>
                </c:pt>
                <c:pt idx="3">
                  <c:v>19</c:v>
                </c:pt>
                <c:pt idx="4">
                  <c:v>18</c:v>
                </c:pt>
                <c:pt idx="5">
                  <c:v>17</c:v>
                </c:pt>
                <c:pt idx="6">
                  <c:v>16</c:v>
                </c:pt>
                <c:pt idx="7">
                  <c:v>15</c:v>
                </c:pt>
                <c:pt idx="8">
                  <c:v>14</c:v>
                </c:pt>
                <c:pt idx="9">
                  <c:v>13</c:v>
                </c:pt>
                <c:pt idx="10">
                  <c:v>12</c:v>
                </c:pt>
                <c:pt idx="11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50-475F-B70F-B2FF07538479}"/>
            </c:ext>
          </c:extLst>
        </c:ser>
        <c:ser>
          <c:idx val="5"/>
          <c:order val="5"/>
          <c:tx>
            <c:strRef>
              <c:f>pivot!$G$3:$G$4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pivot!$G$5:$G$16</c:f>
              <c:numCache>
                <c:formatCode>0.0</c:formatCode>
                <c:ptCount val="12"/>
                <c:pt idx="0">
                  <c:v>24</c:v>
                </c:pt>
                <c:pt idx="1">
                  <c:v>22.5</c:v>
                </c:pt>
                <c:pt idx="2">
                  <c:v>21</c:v>
                </c:pt>
                <c:pt idx="3">
                  <c:v>19.5</c:v>
                </c:pt>
                <c:pt idx="4">
                  <c:v>18</c:v>
                </c:pt>
                <c:pt idx="5">
                  <c:v>16.5</c:v>
                </c:pt>
                <c:pt idx="6">
                  <c:v>15</c:v>
                </c:pt>
                <c:pt idx="7">
                  <c:v>13.5</c:v>
                </c:pt>
                <c:pt idx="8">
                  <c:v>12</c:v>
                </c:pt>
                <c:pt idx="9">
                  <c:v>10.5</c:v>
                </c:pt>
                <c:pt idx="10">
                  <c:v>9</c:v>
                </c:pt>
                <c:pt idx="11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50-475F-B70F-B2FF07538479}"/>
            </c:ext>
          </c:extLst>
        </c:ser>
        <c:ser>
          <c:idx val="6"/>
          <c:order val="6"/>
          <c:tx>
            <c:strRef>
              <c:f>pivot!$H$3:$H$4</c:f>
              <c:strCache>
                <c:ptCount val="1"/>
                <c:pt idx="0">
                  <c:v>13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pivot!$H$5:$H$16</c:f>
              <c:numCache>
                <c:formatCode>0.0</c:formatCode>
                <c:ptCount val="12"/>
                <c:pt idx="0">
                  <c:v>22</c:v>
                </c:pt>
                <c:pt idx="1">
                  <c:v>20.698970004336019</c:v>
                </c:pt>
                <c:pt idx="2">
                  <c:v>19.522878745280337</c:v>
                </c:pt>
                <c:pt idx="3">
                  <c:v>18.397940008672037</c:v>
                </c:pt>
                <c:pt idx="4">
                  <c:v>17.301029995663981</c:v>
                </c:pt>
                <c:pt idx="5">
                  <c:v>16.221848749616356</c:v>
                </c:pt>
                <c:pt idx="6">
                  <c:v>15.154901959985743</c:v>
                </c:pt>
                <c:pt idx="7">
                  <c:v>14.096910013008056</c:v>
                </c:pt>
                <c:pt idx="8">
                  <c:v>13.045757490560675</c:v>
                </c:pt>
                <c:pt idx="9">
                  <c:v>12</c:v>
                </c:pt>
                <c:pt idx="10">
                  <c:v>10.958607314841775</c:v>
                </c:pt>
                <c:pt idx="11">
                  <c:v>9.9208187539523749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50-475F-B70F-B2FF07538479}"/>
            </c:ext>
          </c:extLst>
        </c:ser>
        <c:ser>
          <c:idx val="7"/>
          <c:order val="7"/>
          <c:tx>
            <c:strRef>
              <c:f>pivot!$I$3:$I$4</c:f>
              <c:strCache>
                <c:ptCount val="1"/>
                <c:pt idx="0">
                  <c:v>14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pivot!$I$5:$I$16</c:f>
              <c:numCache>
                <c:formatCode>0.0</c:formatCode>
                <c:ptCount val="12"/>
                <c:pt idx="0">
                  <c:v>24</c:v>
                </c:pt>
                <c:pt idx="1">
                  <c:v>22.198970004336019</c:v>
                </c:pt>
                <c:pt idx="2">
                  <c:v>20.522878745280337</c:v>
                </c:pt>
                <c:pt idx="3">
                  <c:v>18.897940008672037</c:v>
                </c:pt>
                <c:pt idx="4">
                  <c:v>17.301029995663981</c:v>
                </c:pt>
                <c:pt idx="5">
                  <c:v>15.721848749616356</c:v>
                </c:pt>
                <c:pt idx="6">
                  <c:v>14.154901959985743</c:v>
                </c:pt>
                <c:pt idx="7">
                  <c:v>12.596910013008056</c:v>
                </c:pt>
                <c:pt idx="8">
                  <c:v>11.045757490560675</c:v>
                </c:pt>
                <c:pt idx="9">
                  <c:v>9.5</c:v>
                </c:pt>
                <c:pt idx="10">
                  <c:v>7.9586073148417746</c:v>
                </c:pt>
                <c:pt idx="11">
                  <c:v>6.4208187539523749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50-475F-B70F-B2FF07538479}"/>
            </c:ext>
          </c:extLst>
        </c:ser>
        <c:ser>
          <c:idx val="8"/>
          <c:order val="8"/>
          <c:tx>
            <c:strRef>
              <c:f>pivot!$J$3:$J$4</c:f>
              <c:strCache>
                <c:ptCount val="1"/>
                <c:pt idx="0">
                  <c:v>17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pivot!$J$5:$J$16</c:f>
              <c:numCache>
                <c:formatCode>0.0</c:formatCode>
                <c:ptCount val="12"/>
                <c:pt idx="0">
                  <c:v>20</c:v>
                </c:pt>
                <c:pt idx="1">
                  <c:v>19</c:v>
                </c:pt>
                <c:pt idx="2">
                  <c:v>18</c:v>
                </c:pt>
                <c:pt idx="3">
                  <c:v>17</c:v>
                </c:pt>
                <c:pt idx="4">
                  <c:v>16</c:v>
                </c:pt>
                <c:pt idx="5">
                  <c:v>15</c:v>
                </c:pt>
                <c:pt idx="6">
                  <c:v>14</c:v>
                </c:pt>
                <c:pt idx="7">
                  <c:v>13</c:v>
                </c:pt>
                <c:pt idx="8">
                  <c:v>12</c:v>
                </c:pt>
                <c:pt idx="9">
                  <c:v>11</c:v>
                </c:pt>
                <c:pt idx="10">
                  <c:v>10</c:v>
                </c:pt>
                <c:pt idx="1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50-475F-B70F-B2FF07538479}"/>
            </c:ext>
          </c:extLst>
        </c:ser>
        <c:ser>
          <c:idx val="9"/>
          <c:order val="9"/>
          <c:tx>
            <c:strRef>
              <c:f>pivot!$K$3:$K$4</c:f>
              <c:strCache>
                <c:ptCount val="1"/>
                <c:pt idx="0">
                  <c:v>18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pivot!$K$5:$K$16</c:f>
              <c:numCache>
                <c:formatCode>0.0</c:formatCode>
                <c:ptCount val="12"/>
                <c:pt idx="0">
                  <c:v>22</c:v>
                </c:pt>
                <c:pt idx="1">
                  <c:v>20.5</c:v>
                </c:pt>
                <c:pt idx="2">
                  <c:v>19</c:v>
                </c:pt>
                <c:pt idx="3">
                  <c:v>17.5</c:v>
                </c:pt>
                <c:pt idx="4">
                  <c:v>16</c:v>
                </c:pt>
                <c:pt idx="5">
                  <c:v>14.5</c:v>
                </c:pt>
                <c:pt idx="6">
                  <c:v>13</c:v>
                </c:pt>
                <c:pt idx="7">
                  <c:v>11.5</c:v>
                </c:pt>
                <c:pt idx="8">
                  <c:v>10</c:v>
                </c:pt>
                <c:pt idx="9">
                  <c:v>8.5</c:v>
                </c:pt>
                <c:pt idx="10">
                  <c:v>7</c:v>
                </c:pt>
                <c:pt idx="11">
                  <c:v>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50-475F-B70F-B2FF07538479}"/>
            </c:ext>
          </c:extLst>
        </c:ser>
        <c:ser>
          <c:idx val="10"/>
          <c:order val="10"/>
          <c:tx>
            <c:strRef>
              <c:f>pivot!$L$3:$L$4</c:f>
              <c:strCache>
                <c:ptCount val="1"/>
                <c:pt idx="0">
                  <c:v>21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pivot!$L$5:$L$16</c:f>
              <c:numCache>
                <c:formatCode>0.0</c:formatCode>
                <c:ptCount val="12"/>
                <c:pt idx="0">
                  <c:v>20</c:v>
                </c:pt>
                <c:pt idx="1">
                  <c:v>18.698970004336019</c:v>
                </c:pt>
                <c:pt idx="2">
                  <c:v>17.522878745280337</c:v>
                </c:pt>
                <c:pt idx="3">
                  <c:v>16.397940008672037</c:v>
                </c:pt>
                <c:pt idx="4">
                  <c:v>15.301029995663981</c:v>
                </c:pt>
                <c:pt idx="5">
                  <c:v>14.221848749616356</c:v>
                </c:pt>
                <c:pt idx="6">
                  <c:v>13.154901959985743</c:v>
                </c:pt>
                <c:pt idx="7">
                  <c:v>12.096910013008056</c:v>
                </c:pt>
                <c:pt idx="8">
                  <c:v>11.045757490560675</c:v>
                </c:pt>
                <c:pt idx="9">
                  <c:v>10</c:v>
                </c:pt>
                <c:pt idx="10">
                  <c:v>8.9586073148417746</c:v>
                </c:pt>
                <c:pt idx="11">
                  <c:v>7.9208187539523749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50-475F-B70F-B2FF07538479}"/>
            </c:ext>
          </c:extLst>
        </c:ser>
        <c:ser>
          <c:idx val="11"/>
          <c:order val="11"/>
          <c:tx>
            <c:strRef>
              <c:f>pivot!$M$3:$M$4</c:f>
              <c:strCache>
                <c:ptCount val="1"/>
                <c:pt idx="0">
                  <c:v>22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pivot!$M$5:$M$16</c:f>
              <c:numCache>
                <c:formatCode>0.0</c:formatCode>
                <c:ptCount val="12"/>
                <c:pt idx="0">
                  <c:v>22</c:v>
                </c:pt>
                <c:pt idx="1">
                  <c:v>20.198970004336019</c:v>
                </c:pt>
                <c:pt idx="2">
                  <c:v>18.522878745280337</c:v>
                </c:pt>
                <c:pt idx="3">
                  <c:v>16.897940008672037</c:v>
                </c:pt>
                <c:pt idx="4">
                  <c:v>15.301029995663981</c:v>
                </c:pt>
                <c:pt idx="5">
                  <c:v>13.721848749616356</c:v>
                </c:pt>
                <c:pt idx="6">
                  <c:v>12.154901959985743</c:v>
                </c:pt>
                <c:pt idx="7">
                  <c:v>10.596910013008056</c:v>
                </c:pt>
                <c:pt idx="8">
                  <c:v>9.0457574905606748</c:v>
                </c:pt>
                <c:pt idx="9">
                  <c:v>7.5</c:v>
                </c:pt>
                <c:pt idx="10">
                  <c:v>5.9586073148417746</c:v>
                </c:pt>
                <c:pt idx="11">
                  <c:v>4.4208187539523749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50-475F-B70F-B2FF07538479}"/>
            </c:ext>
          </c:extLst>
        </c:ser>
        <c:ser>
          <c:idx val="12"/>
          <c:order val="12"/>
          <c:tx>
            <c:strRef>
              <c:f>pivot!$N$3:$N$4</c:f>
              <c:strCache>
                <c:ptCount val="1"/>
                <c:pt idx="0">
                  <c:v>25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pivot!$N$5:$N$16</c:f>
              <c:numCache>
                <c:formatCode>0.0</c:formatCode>
                <c:ptCount val="12"/>
                <c:pt idx="0">
                  <c:v>18</c:v>
                </c:pt>
                <c:pt idx="1">
                  <c:v>17</c:v>
                </c:pt>
                <c:pt idx="2">
                  <c:v>16</c:v>
                </c:pt>
                <c:pt idx="3">
                  <c:v>15</c:v>
                </c:pt>
                <c:pt idx="4">
                  <c:v>14</c:v>
                </c:pt>
                <c:pt idx="5">
                  <c:v>13</c:v>
                </c:pt>
                <c:pt idx="6">
                  <c:v>12</c:v>
                </c:pt>
                <c:pt idx="7">
                  <c:v>11</c:v>
                </c:pt>
                <c:pt idx="8">
                  <c:v>10</c:v>
                </c:pt>
                <c:pt idx="9">
                  <c:v>9</c:v>
                </c:pt>
                <c:pt idx="10">
                  <c:v>8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50-475F-B70F-B2FF07538479}"/>
            </c:ext>
          </c:extLst>
        </c:ser>
        <c:ser>
          <c:idx val="13"/>
          <c:order val="13"/>
          <c:tx>
            <c:strRef>
              <c:f>pivot!$O$3:$O$4</c:f>
              <c:strCache>
                <c:ptCount val="1"/>
                <c:pt idx="0">
                  <c:v>26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pivot!$O$5:$O$16</c:f>
              <c:numCache>
                <c:formatCode>0.0</c:formatCode>
                <c:ptCount val="12"/>
                <c:pt idx="0">
                  <c:v>20</c:v>
                </c:pt>
                <c:pt idx="1">
                  <c:v>18.5</c:v>
                </c:pt>
                <c:pt idx="2">
                  <c:v>17</c:v>
                </c:pt>
                <c:pt idx="3">
                  <c:v>15.5</c:v>
                </c:pt>
                <c:pt idx="4">
                  <c:v>14</c:v>
                </c:pt>
                <c:pt idx="5">
                  <c:v>12.5</c:v>
                </c:pt>
                <c:pt idx="6">
                  <c:v>11</c:v>
                </c:pt>
                <c:pt idx="7">
                  <c:v>9.5</c:v>
                </c:pt>
                <c:pt idx="8">
                  <c:v>8</c:v>
                </c:pt>
                <c:pt idx="9">
                  <c:v>6.5</c:v>
                </c:pt>
                <c:pt idx="10">
                  <c:v>5</c:v>
                </c:pt>
                <c:pt idx="11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50-475F-B70F-B2FF07538479}"/>
            </c:ext>
          </c:extLst>
        </c:ser>
        <c:ser>
          <c:idx val="14"/>
          <c:order val="14"/>
          <c:tx>
            <c:strRef>
              <c:f>pivot!$P$3:$P$4</c:f>
              <c:strCache>
                <c:ptCount val="1"/>
                <c:pt idx="0">
                  <c:v>29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pivot!$P$5:$P$16</c:f>
              <c:numCache>
                <c:formatCode>0.0</c:formatCode>
                <c:ptCount val="12"/>
                <c:pt idx="0">
                  <c:v>18</c:v>
                </c:pt>
                <c:pt idx="1">
                  <c:v>16.698970004336019</c:v>
                </c:pt>
                <c:pt idx="2">
                  <c:v>15.522878745280337</c:v>
                </c:pt>
                <c:pt idx="3">
                  <c:v>14.397940008672037</c:v>
                </c:pt>
                <c:pt idx="4">
                  <c:v>13.301029995663981</c:v>
                </c:pt>
                <c:pt idx="5">
                  <c:v>12.221848749616356</c:v>
                </c:pt>
                <c:pt idx="6">
                  <c:v>11.154901959985743</c:v>
                </c:pt>
                <c:pt idx="7">
                  <c:v>10.096910013008056</c:v>
                </c:pt>
                <c:pt idx="8">
                  <c:v>9.0457574905606748</c:v>
                </c:pt>
                <c:pt idx="9">
                  <c:v>8</c:v>
                </c:pt>
                <c:pt idx="10">
                  <c:v>6.9586073148417746</c:v>
                </c:pt>
                <c:pt idx="11">
                  <c:v>5.9208187539523749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A50-475F-B70F-B2FF07538479}"/>
            </c:ext>
          </c:extLst>
        </c:ser>
        <c:ser>
          <c:idx val="15"/>
          <c:order val="15"/>
          <c:tx>
            <c:strRef>
              <c:f>pivot!$Q$3:$Q$4</c:f>
              <c:strCache>
                <c:ptCount val="1"/>
                <c:pt idx="0">
                  <c:v>30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pivot!$Q$5:$Q$16</c:f>
              <c:numCache>
                <c:formatCode>0.0</c:formatCode>
                <c:ptCount val="12"/>
                <c:pt idx="0">
                  <c:v>20</c:v>
                </c:pt>
                <c:pt idx="1">
                  <c:v>18.198970004336019</c:v>
                </c:pt>
                <c:pt idx="2">
                  <c:v>16.522878745280337</c:v>
                </c:pt>
                <c:pt idx="3">
                  <c:v>14.897940008672037</c:v>
                </c:pt>
                <c:pt idx="4">
                  <c:v>13.301029995663981</c:v>
                </c:pt>
                <c:pt idx="5">
                  <c:v>11.721848749616356</c:v>
                </c:pt>
                <c:pt idx="6">
                  <c:v>10.154901959985743</c:v>
                </c:pt>
                <c:pt idx="7">
                  <c:v>8.5969100130080562</c:v>
                </c:pt>
                <c:pt idx="8">
                  <c:v>7.0457574905606748</c:v>
                </c:pt>
                <c:pt idx="9">
                  <c:v>5.5</c:v>
                </c:pt>
                <c:pt idx="10">
                  <c:v>3.9586073148417746</c:v>
                </c:pt>
                <c:pt idx="11">
                  <c:v>2.4208187539523749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A50-475F-B70F-B2FF07538479}"/>
            </c:ext>
          </c:extLst>
        </c:ser>
        <c:ser>
          <c:idx val="16"/>
          <c:order val="16"/>
          <c:tx>
            <c:strRef>
              <c:f>pivot!$R$3:$R$4</c:f>
              <c:strCache>
                <c:ptCount val="1"/>
                <c:pt idx="0">
                  <c:v>33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pivot!$R$5:$R$16</c:f>
              <c:numCache>
                <c:formatCode>0.0</c:formatCode>
                <c:ptCount val="12"/>
                <c:pt idx="0">
                  <c:v>16</c:v>
                </c:pt>
                <c:pt idx="1">
                  <c:v>15</c:v>
                </c:pt>
                <c:pt idx="2">
                  <c:v>14</c:v>
                </c:pt>
                <c:pt idx="3">
                  <c:v>13</c:v>
                </c:pt>
                <c:pt idx="4">
                  <c:v>12</c:v>
                </c:pt>
                <c:pt idx="5">
                  <c:v>11</c:v>
                </c:pt>
                <c:pt idx="6">
                  <c:v>10</c:v>
                </c:pt>
                <c:pt idx="7">
                  <c:v>9</c:v>
                </c:pt>
                <c:pt idx="8">
                  <c:v>8</c:v>
                </c:pt>
                <c:pt idx="9">
                  <c:v>7</c:v>
                </c:pt>
                <c:pt idx="10">
                  <c:v>6</c:v>
                </c:pt>
                <c:pt idx="11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A50-475F-B70F-B2FF07538479}"/>
            </c:ext>
          </c:extLst>
        </c:ser>
        <c:ser>
          <c:idx val="17"/>
          <c:order val="17"/>
          <c:tx>
            <c:strRef>
              <c:f>pivot!$S$3:$S$4</c:f>
              <c:strCache>
                <c:ptCount val="1"/>
                <c:pt idx="0">
                  <c:v>34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pivot!$S$5:$S$16</c:f>
              <c:numCache>
                <c:formatCode>0.0</c:formatCode>
                <c:ptCount val="12"/>
                <c:pt idx="0">
                  <c:v>18</c:v>
                </c:pt>
                <c:pt idx="1">
                  <c:v>16.5</c:v>
                </c:pt>
                <c:pt idx="2">
                  <c:v>15</c:v>
                </c:pt>
                <c:pt idx="3">
                  <c:v>13.5</c:v>
                </c:pt>
                <c:pt idx="4">
                  <c:v>12</c:v>
                </c:pt>
                <c:pt idx="5">
                  <c:v>10.5</c:v>
                </c:pt>
                <c:pt idx="6">
                  <c:v>9</c:v>
                </c:pt>
                <c:pt idx="7">
                  <c:v>7.5</c:v>
                </c:pt>
                <c:pt idx="8">
                  <c:v>6</c:v>
                </c:pt>
                <c:pt idx="9">
                  <c:v>4.5</c:v>
                </c:pt>
                <c:pt idx="10">
                  <c:v>3</c:v>
                </c:pt>
                <c:pt idx="11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A50-475F-B70F-B2FF07538479}"/>
            </c:ext>
          </c:extLst>
        </c:ser>
        <c:ser>
          <c:idx val="18"/>
          <c:order val="18"/>
          <c:tx>
            <c:strRef>
              <c:f>pivot!$T$3:$T$4</c:f>
              <c:strCache>
                <c:ptCount val="1"/>
                <c:pt idx="0">
                  <c:v>37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pivot!$T$5:$T$16</c:f>
              <c:numCache>
                <c:formatCode>0.0</c:formatCode>
                <c:ptCount val="12"/>
                <c:pt idx="0">
                  <c:v>16</c:v>
                </c:pt>
                <c:pt idx="1">
                  <c:v>14.698970004336019</c:v>
                </c:pt>
                <c:pt idx="2">
                  <c:v>13.522878745280337</c:v>
                </c:pt>
                <c:pt idx="3">
                  <c:v>12.397940008672037</c:v>
                </c:pt>
                <c:pt idx="4">
                  <c:v>11.301029995663981</c:v>
                </c:pt>
                <c:pt idx="5">
                  <c:v>10.221848749616356</c:v>
                </c:pt>
                <c:pt idx="6">
                  <c:v>9.1549019599857431</c:v>
                </c:pt>
                <c:pt idx="7">
                  <c:v>8.0969100130080562</c:v>
                </c:pt>
                <c:pt idx="8">
                  <c:v>7.0457574905606748</c:v>
                </c:pt>
                <c:pt idx="9">
                  <c:v>6</c:v>
                </c:pt>
                <c:pt idx="10">
                  <c:v>4.9586073148417746</c:v>
                </c:pt>
                <c:pt idx="11">
                  <c:v>3.9208187539523749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A50-475F-B70F-B2FF07538479}"/>
            </c:ext>
          </c:extLst>
        </c:ser>
        <c:ser>
          <c:idx val="19"/>
          <c:order val="19"/>
          <c:tx>
            <c:strRef>
              <c:f>pivot!$U$3:$U$4</c:f>
              <c:strCache>
                <c:ptCount val="1"/>
                <c:pt idx="0">
                  <c:v>38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pivot!$U$5:$U$16</c:f>
              <c:numCache>
                <c:formatCode>0.0</c:formatCode>
                <c:ptCount val="12"/>
                <c:pt idx="0">
                  <c:v>18</c:v>
                </c:pt>
                <c:pt idx="1">
                  <c:v>16.198970004336019</c:v>
                </c:pt>
                <c:pt idx="2">
                  <c:v>14.522878745280337</c:v>
                </c:pt>
                <c:pt idx="3">
                  <c:v>12.897940008672037</c:v>
                </c:pt>
                <c:pt idx="4">
                  <c:v>11.301029995663981</c:v>
                </c:pt>
                <c:pt idx="5">
                  <c:v>9.7218487496163561</c:v>
                </c:pt>
                <c:pt idx="6">
                  <c:v>8.1549019599857431</c:v>
                </c:pt>
                <c:pt idx="7">
                  <c:v>6.5969100130080562</c:v>
                </c:pt>
                <c:pt idx="8">
                  <c:v>5.0457574905606748</c:v>
                </c:pt>
                <c:pt idx="9">
                  <c:v>3.5</c:v>
                </c:pt>
                <c:pt idx="10">
                  <c:v>1.9586073148417749</c:v>
                </c:pt>
                <c:pt idx="11">
                  <c:v>0.42081875395237511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A50-475F-B70F-B2FF07538479}"/>
            </c:ext>
          </c:extLst>
        </c:ser>
        <c:ser>
          <c:idx val="20"/>
          <c:order val="20"/>
          <c:tx>
            <c:strRef>
              <c:f>pivot!$V$3:$V$4</c:f>
              <c:strCache>
                <c:ptCount val="1"/>
                <c:pt idx="0">
                  <c:v>41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pivot!$V$5:$V$16</c:f>
              <c:numCache>
                <c:formatCode>0.0</c:formatCode>
                <c:ptCount val="12"/>
                <c:pt idx="0">
                  <c:v>23</c:v>
                </c:pt>
                <c:pt idx="1">
                  <c:v>22</c:v>
                </c:pt>
                <c:pt idx="2">
                  <c:v>21</c:v>
                </c:pt>
                <c:pt idx="3">
                  <c:v>20</c:v>
                </c:pt>
                <c:pt idx="4">
                  <c:v>19</c:v>
                </c:pt>
                <c:pt idx="5">
                  <c:v>18</c:v>
                </c:pt>
                <c:pt idx="6">
                  <c:v>17</c:v>
                </c:pt>
                <c:pt idx="7">
                  <c:v>16</c:v>
                </c:pt>
                <c:pt idx="8">
                  <c:v>15</c:v>
                </c:pt>
                <c:pt idx="9">
                  <c:v>14</c:v>
                </c:pt>
                <c:pt idx="10">
                  <c:v>13</c:v>
                </c:pt>
                <c:pt idx="1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A50-475F-B70F-B2FF07538479}"/>
            </c:ext>
          </c:extLst>
        </c:ser>
        <c:ser>
          <c:idx val="21"/>
          <c:order val="21"/>
          <c:tx>
            <c:strRef>
              <c:f>pivot!$W$3:$W$4</c:f>
              <c:strCache>
                <c:ptCount val="1"/>
                <c:pt idx="0">
                  <c:v>42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pivot!$W$5:$W$16</c:f>
              <c:numCache>
                <c:formatCode>0.0</c:formatCode>
                <c:ptCount val="12"/>
                <c:pt idx="0">
                  <c:v>25</c:v>
                </c:pt>
                <c:pt idx="1">
                  <c:v>23.5</c:v>
                </c:pt>
                <c:pt idx="2">
                  <c:v>22</c:v>
                </c:pt>
                <c:pt idx="3">
                  <c:v>20.5</c:v>
                </c:pt>
                <c:pt idx="4">
                  <c:v>19</c:v>
                </c:pt>
                <c:pt idx="5">
                  <c:v>17.5</c:v>
                </c:pt>
                <c:pt idx="6">
                  <c:v>16</c:v>
                </c:pt>
                <c:pt idx="7">
                  <c:v>14.5</c:v>
                </c:pt>
                <c:pt idx="8">
                  <c:v>13</c:v>
                </c:pt>
                <c:pt idx="9">
                  <c:v>11.5</c:v>
                </c:pt>
                <c:pt idx="10">
                  <c:v>10</c:v>
                </c:pt>
                <c:pt idx="11">
                  <c:v>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A50-475F-B70F-B2FF07538479}"/>
            </c:ext>
          </c:extLst>
        </c:ser>
        <c:ser>
          <c:idx val="22"/>
          <c:order val="22"/>
          <c:tx>
            <c:strRef>
              <c:f>pivot!$X$3:$X$4</c:f>
              <c:strCache>
                <c:ptCount val="1"/>
                <c:pt idx="0">
                  <c:v>45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pivot!$X$5:$X$16</c:f>
              <c:numCache>
                <c:formatCode>0.0</c:formatCode>
                <c:ptCount val="12"/>
                <c:pt idx="0">
                  <c:v>23</c:v>
                </c:pt>
                <c:pt idx="1">
                  <c:v>21.698970004336019</c:v>
                </c:pt>
                <c:pt idx="2">
                  <c:v>20.522878745280337</c:v>
                </c:pt>
                <c:pt idx="3">
                  <c:v>19.397940008672037</c:v>
                </c:pt>
                <c:pt idx="4">
                  <c:v>18.301029995663981</c:v>
                </c:pt>
                <c:pt idx="5">
                  <c:v>17.221848749616356</c:v>
                </c:pt>
                <c:pt idx="6">
                  <c:v>16.154901959985743</c:v>
                </c:pt>
                <c:pt idx="7">
                  <c:v>15.096910013008056</c:v>
                </c:pt>
                <c:pt idx="8">
                  <c:v>14.045757490560675</c:v>
                </c:pt>
                <c:pt idx="9">
                  <c:v>13</c:v>
                </c:pt>
                <c:pt idx="10">
                  <c:v>11.958607314841775</c:v>
                </c:pt>
                <c:pt idx="11">
                  <c:v>10.920818753952375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A50-475F-B70F-B2FF07538479}"/>
            </c:ext>
          </c:extLst>
        </c:ser>
        <c:ser>
          <c:idx val="23"/>
          <c:order val="23"/>
          <c:tx>
            <c:strRef>
              <c:f>pivot!$Y$3:$Y$4</c:f>
              <c:strCache>
                <c:ptCount val="1"/>
                <c:pt idx="0">
                  <c:v>46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pivot!$Y$5:$Y$16</c:f>
              <c:numCache>
                <c:formatCode>0.0</c:formatCode>
                <c:ptCount val="12"/>
                <c:pt idx="0">
                  <c:v>25</c:v>
                </c:pt>
                <c:pt idx="1">
                  <c:v>23.198970004336019</c:v>
                </c:pt>
                <c:pt idx="2">
                  <c:v>21.522878745280337</c:v>
                </c:pt>
                <c:pt idx="3">
                  <c:v>19.897940008672037</c:v>
                </c:pt>
                <c:pt idx="4">
                  <c:v>18.301029995663981</c:v>
                </c:pt>
                <c:pt idx="5">
                  <c:v>16.721848749616356</c:v>
                </c:pt>
                <c:pt idx="6">
                  <c:v>15.154901959985743</c:v>
                </c:pt>
                <c:pt idx="7">
                  <c:v>13.596910013008056</c:v>
                </c:pt>
                <c:pt idx="8">
                  <c:v>12.045757490560675</c:v>
                </c:pt>
                <c:pt idx="9">
                  <c:v>10.5</c:v>
                </c:pt>
                <c:pt idx="10">
                  <c:v>8.9586073148417746</c:v>
                </c:pt>
                <c:pt idx="11">
                  <c:v>7.4208187539523749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A50-475F-B70F-B2FF07538479}"/>
            </c:ext>
          </c:extLst>
        </c:ser>
        <c:ser>
          <c:idx val="24"/>
          <c:order val="24"/>
          <c:tx>
            <c:strRef>
              <c:f>pivot!$Z$3:$Z$4</c:f>
              <c:strCache>
                <c:ptCount val="1"/>
                <c:pt idx="0">
                  <c:v>49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pivot!$Z$5:$Z$16</c:f>
              <c:numCache>
                <c:formatCode>0.0</c:formatCode>
                <c:ptCount val="12"/>
                <c:pt idx="0">
                  <c:v>21</c:v>
                </c:pt>
                <c:pt idx="1">
                  <c:v>20</c:v>
                </c:pt>
                <c:pt idx="2">
                  <c:v>19</c:v>
                </c:pt>
                <c:pt idx="3">
                  <c:v>18</c:v>
                </c:pt>
                <c:pt idx="4">
                  <c:v>17</c:v>
                </c:pt>
                <c:pt idx="5">
                  <c:v>16</c:v>
                </c:pt>
                <c:pt idx="6">
                  <c:v>15</c:v>
                </c:pt>
                <c:pt idx="7">
                  <c:v>14</c:v>
                </c:pt>
                <c:pt idx="8">
                  <c:v>13</c:v>
                </c:pt>
                <c:pt idx="9">
                  <c:v>12</c:v>
                </c:pt>
                <c:pt idx="10">
                  <c:v>11</c:v>
                </c:pt>
                <c:pt idx="1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A50-475F-B70F-B2FF07538479}"/>
            </c:ext>
          </c:extLst>
        </c:ser>
        <c:ser>
          <c:idx val="25"/>
          <c:order val="25"/>
          <c:tx>
            <c:strRef>
              <c:f>pivot!$AA$3:$AA$4</c:f>
              <c:strCache>
                <c:ptCount val="1"/>
                <c:pt idx="0">
                  <c:v>50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pivot!$AA$5:$AA$16</c:f>
              <c:numCache>
                <c:formatCode>0.0</c:formatCode>
                <c:ptCount val="12"/>
                <c:pt idx="0">
                  <c:v>23</c:v>
                </c:pt>
                <c:pt idx="1">
                  <c:v>21.5</c:v>
                </c:pt>
                <c:pt idx="2">
                  <c:v>20</c:v>
                </c:pt>
                <c:pt idx="3">
                  <c:v>18.5</c:v>
                </c:pt>
                <c:pt idx="4">
                  <c:v>17</c:v>
                </c:pt>
                <c:pt idx="5">
                  <c:v>15.5</c:v>
                </c:pt>
                <c:pt idx="6">
                  <c:v>14</c:v>
                </c:pt>
                <c:pt idx="7">
                  <c:v>12.5</c:v>
                </c:pt>
                <c:pt idx="8">
                  <c:v>11</c:v>
                </c:pt>
                <c:pt idx="9">
                  <c:v>9.5</c:v>
                </c:pt>
                <c:pt idx="10">
                  <c:v>8</c:v>
                </c:pt>
                <c:pt idx="11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50-475F-B70F-B2FF07538479}"/>
            </c:ext>
          </c:extLst>
        </c:ser>
        <c:ser>
          <c:idx val="26"/>
          <c:order val="26"/>
          <c:tx>
            <c:strRef>
              <c:f>pivot!$AB$3:$AB$4</c:f>
              <c:strCache>
                <c:ptCount val="1"/>
                <c:pt idx="0">
                  <c:v>53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pivot!$AB$5:$AB$16</c:f>
              <c:numCache>
                <c:formatCode>0.0</c:formatCode>
                <c:ptCount val="12"/>
                <c:pt idx="0">
                  <c:v>21</c:v>
                </c:pt>
                <c:pt idx="1">
                  <c:v>19.698970004336019</c:v>
                </c:pt>
                <c:pt idx="2">
                  <c:v>18.522878745280337</c:v>
                </c:pt>
                <c:pt idx="3">
                  <c:v>17.397940008672037</c:v>
                </c:pt>
                <c:pt idx="4">
                  <c:v>16.301029995663981</c:v>
                </c:pt>
                <c:pt idx="5">
                  <c:v>15.221848749616356</c:v>
                </c:pt>
                <c:pt idx="6">
                  <c:v>14.154901959985743</c:v>
                </c:pt>
                <c:pt idx="7">
                  <c:v>13.096910013008056</c:v>
                </c:pt>
                <c:pt idx="8">
                  <c:v>12.045757490560675</c:v>
                </c:pt>
                <c:pt idx="9">
                  <c:v>11</c:v>
                </c:pt>
                <c:pt idx="10">
                  <c:v>9.9586073148417746</c:v>
                </c:pt>
                <c:pt idx="11">
                  <c:v>8.9208187539523749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A50-475F-B70F-B2FF07538479}"/>
            </c:ext>
          </c:extLst>
        </c:ser>
        <c:ser>
          <c:idx val="27"/>
          <c:order val="27"/>
          <c:tx>
            <c:strRef>
              <c:f>pivot!$AC$3:$AC$4</c:f>
              <c:strCache>
                <c:ptCount val="1"/>
                <c:pt idx="0">
                  <c:v>54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pivot!$AC$5:$AC$16</c:f>
              <c:numCache>
                <c:formatCode>0.0</c:formatCode>
                <c:ptCount val="12"/>
                <c:pt idx="0">
                  <c:v>23</c:v>
                </c:pt>
                <c:pt idx="1">
                  <c:v>21.198970004336019</c:v>
                </c:pt>
                <c:pt idx="2">
                  <c:v>19.522878745280337</c:v>
                </c:pt>
                <c:pt idx="3">
                  <c:v>17.897940008672037</c:v>
                </c:pt>
                <c:pt idx="4">
                  <c:v>16.301029995663981</c:v>
                </c:pt>
                <c:pt idx="5">
                  <c:v>14.721848749616356</c:v>
                </c:pt>
                <c:pt idx="6">
                  <c:v>13.154901959985743</c:v>
                </c:pt>
                <c:pt idx="7">
                  <c:v>11.596910013008056</c:v>
                </c:pt>
                <c:pt idx="8">
                  <c:v>10.045757490560675</c:v>
                </c:pt>
                <c:pt idx="9">
                  <c:v>8.5</c:v>
                </c:pt>
                <c:pt idx="10">
                  <c:v>6.9586073148417746</c:v>
                </c:pt>
                <c:pt idx="11">
                  <c:v>5.4208187539523749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A50-475F-B70F-B2FF07538479}"/>
            </c:ext>
          </c:extLst>
        </c:ser>
        <c:ser>
          <c:idx val="28"/>
          <c:order val="28"/>
          <c:tx>
            <c:strRef>
              <c:f>pivot!$AD$3:$AD$4</c:f>
              <c:strCache>
                <c:ptCount val="1"/>
                <c:pt idx="0">
                  <c:v>57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pivot!$AD$5:$AD$16</c:f>
              <c:numCache>
                <c:formatCode>0.0</c:formatCode>
                <c:ptCount val="12"/>
                <c:pt idx="0">
                  <c:v>19</c:v>
                </c:pt>
                <c:pt idx="1">
                  <c:v>18</c:v>
                </c:pt>
                <c:pt idx="2">
                  <c:v>17</c:v>
                </c:pt>
                <c:pt idx="3">
                  <c:v>16</c:v>
                </c:pt>
                <c:pt idx="4">
                  <c:v>15</c:v>
                </c:pt>
                <c:pt idx="5">
                  <c:v>14</c:v>
                </c:pt>
                <c:pt idx="6">
                  <c:v>13</c:v>
                </c:pt>
                <c:pt idx="7">
                  <c:v>12</c:v>
                </c:pt>
                <c:pt idx="8">
                  <c:v>11</c:v>
                </c:pt>
                <c:pt idx="9">
                  <c:v>10</c:v>
                </c:pt>
                <c:pt idx="10">
                  <c:v>9</c:v>
                </c:pt>
                <c:pt idx="11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A50-475F-B70F-B2FF07538479}"/>
            </c:ext>
          </c:extLst>
        </c:ser>
        <c:ser>
          <c:idx val="29"/>
          <c:order val="29"/>
          <c:tx>
            <c:strRef>
              <c:f>pivot!$AE$3:$AE$4</c:f>
              <c:strCache>
                <c:ptCount val="1"/>
                <c:pt idx="0">
                  <c:v>58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pivot!$AE$5:$AE$16</c:f>
              <c:numCache>
                <c:formatCode>0.0</c:formatCode>
                <c:ptCount val="12"/>
                <c:pt idx="0">
                  <c:v>21</c:v>
                </c:pt>
                <c:pt idx="1">
                  <c:v>19.5</c:v>
                </c:pt>
                <c:pt idx="2">
                  <c:v>18</c:v>
                </c:pt>
                <c:pt idx="3">
                  <c:v>16.5</c:v>
                </c:pt>
                <c:pt idx="4">
                  <c:v>15</c:v>
                </c:pt>
                <c:pt idx="5">
                  <c:v>13.5</c:v>
                </c:pt>
                <c:pt idx="6">
                  <c:v>12</c:v>
                </c:pt>
                <c:pt idx="7">
                  <c:v>10.5</c:v>
                </c:pt>
                <c:pt idx="8">
                  <c:v>9</c:v>
                </c:pt>
                <c:pt idx="9">
                  <c:v>7.5</c:v>
                </c:pt>
                <c:pt idx="10">
                  <c:v>6</c:v>
                </c:pt>
                <c:pt idx="11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A50-475F-B70F-B2FF07538479}"/>
            </c:ext>
          </c:extLst>
        </c:ser>
        <c:ser>
          <c:idx val="30"/>
          <c:order val="30"/>
          <c:tx>
            <c:strRef>
              <c:f>pivot!$AF$3:$AF$4</c:f>
              <c:strCache>
                <c:ptCount val="1"/>
                <c:pt idx="0">
                  <c:v>61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pivot!$AF$5:$AF$16</c:f>
              <c:numCache>
                <c:formatCode>0.0</c:formatCode>
                <c:ptCount val="12"/>
                <c:pt idx="0">
                  <c:v>19</c:v>
                </c:pt>
                <c:pt idx="1">
                  <c:v>17.698970004336019</c:v>
                </c:pt>
                <c:pt idx="2">
                  <c:v>16.522878745280337</c:v>
                </c:pt>
                <c:pt idx="3">
                  <c:v>15.397940008672037</c:v>
                </c:pt>
                <c:pt idx="4">
                  <c:v>14.301029995663981</c:v>
                </c:pt>
                <c:pt idx="5">
                  <c:v>13.221848749616356</c:v>
                </c:pt>
                <c:pt idx="6">
                  <c:v>12.154901959985743</c:v>
                </c:pt>
                <c:pt idx="7">
                  <c:v>11.096910013008056</c:v>
                </c:pt>
                <c:pt idx="8">
                  <c:v>10.045757490560675</c:v>
                </c:pt>
                <c:pt idx="9">
                  <c:v>9</c:v>
                </c:pt>
                <c:pt idx="10">
                  <c:v>7.9586073148417746</c:v>
                </c:pt>
                <c:pt idx="11">
                  <c:v>6.9208187539523749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A50-475F-B70F-B2FF07538479}"/>
            </c:ext>
          </c:extLst>
        </c:ser>
        <c:ser>
          <c:idx val="31"/>
          <c:order val="31"/>
          <c:tx>
            <c:strRef>
              <c:f>pivot!$AG$3:$AG$4</c:f>
              <c:strCache>
                <c:ptCount val="1"/>
                <c:pt idx="0">
                  <c:v>62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pivot!$AG$5:$AG$16</c:f>
              <c:numCache>
                <c:formatCode>0.0</c:formatCode>
                <c:ptCount val="12"/>
                <c:pt idx="0">
                  <c:v>21</c:v>
                </c:pt>
                <c:pt idx="1">
                  <c:v>19.198970004336019</c:v>
                </c:pt>
                <c:pt idx="2">
                  <c:v>17.522878745280337</c:v>
                </c:pt>
                <c:pt idx="3">
                  <c:v>15.897940008672037</c:v>
                </c:pt>
                <c:pt idx="4">
                  <c:v>14.301029995663981</c:v>
                </c:pt>
                <c:pt idx="5">
                  <c:v>12.721848749616356</c:v>
                </c:pt>
                <c:pt idx="6">
                  <c:v>11.154901959985743</c:v>
                </c:pt>
                <c:pt idx="7">
                  <c:v>9.5969100130080562</c:v>
                </c:pt>
                <c:pt idx="8">
                  <c:v>8.0457574905606748</c:v>
                </c:pt>
                <c:pt idx="9">
                  <c:v>6.5</c:v>
                </c:pt>
                <c:pt idx="10">
                  <c:v>4.9586073148417746</c:v>
                </c:pt>
                <c:pt idx="11">
                  <c:v>3.4208187539523749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A50-475F-B70F-B2FF07538479}"/>
            </c:ext>
          </c:extLst>
        </c:ser>
        <c:ser>
          <c:idx val="32"/>
          <c:order val="32"/>
          <c:tx>
            <c:strRef>
              <c:f>pivot!$AH$3:$AH$4</c:f>
              <c:strCache>
                <c:ptCount val="1"/>
                <c:pt idx="0">
                  <c:v>65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pivot!$AH$5:$AH$16</c:f>
              <c:numCache>
                <c:formatCode>0.0</c:formatCode>
                <c:ptCount val="12"/>
                <c:pt idx="0">
                  <c:v>17</c:v>
                </c:pt>
                <c:pt idx="1">
                  <c:v>16</c:v>
                </c:pt>
                <c:pt idx="2">
                  <c:v>15</c:v>
                </c:pt>
                <c:pt idx="3">
                  <c:v>14</c:v>
                </c:pt>
                <c:pt idx="4">
                  <c:v>13</c:v>
                </c:pt>
                <c:pt idx="5">
                  <c:v>12</c:v>
                </c:pt>
                <c:pt idx="6">
                  <c:v>11</c:v>
                </c:pt>
                <c:pt idx="7">
                  <c:v>10</c:v>
                </c:pt>
                <c:pt idx="8">
                  <c:v>9</c:v>
                </c:pt>
                <c:pt idx="9">
                  <c:v>8</c:v>
                </c:pt>
                <c:pt idx="10">
                  <c:v>7</c:v>
                </c:pt>
                <c:pt idx="11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A50-475F-B70F-B2FF07538479}"/>
            </c:ext>
          </c:extLst>
        </c:ser>
        <c:ser>
          <c:idx val="33"/>
          <c:order val="33"/>
          <c:tx>
            <c:strRef>
              <c:f>pivot!$AI$3:$AI$4</c:f>
              <c:strCache>
                <c:ptCount val="1"/>
                <c:pt idx="0">
                  <c:v>66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pivot!$AI$5:$AI$16</c:f>
              <c:numCache>
                <c:formatCode>0.0</c:formatCode>
                <c:ptCount val="12"/>
                <c:pt idx="0">
                  <c:v>19</c:v>
                </c:pt>
                <c:pt idx="1">
                  <c:v>17.5</c:v>
                </c:pt>
                <c:pt idx="2">
                  <c:v>16</c:v>
                </c:pt>
                <c:pt idx="3">
                  <c:v>14.5</c:v>
                </c:pt>
                <c:pt idx="4">
                  <c:v>13</c:v>
                </c:pt>
                <c:pt idx="5">
                  <c:v>11.5</c:v>
                </c:pt>
                <c:pt idx="6">
                  <c:v>10</c:v>
                </c:pt>
                <c:pt idx="7">
                  <c:v>8.5</c:v>
                </c:pt>
                <c:pt idx="8">
                  <c:v>7</c:v>
                </c:pt>
                <c:pt idx="9">
                  <c:v>5.5</c:v>
                </c:pt>
                <c:pt idx="10">
                  <c:v>4</c:v>
                </c:pt>
                <c:pt idx="11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A50-475F-B70F-B2FF07538479}"/>
            </c:ext>
          </c:extLst>
        </c:ser>
        <c:ser>
          <c:idx val="34"/>
          <c:order val="34"/>
          <c:tx>
            <c:strRef>
              <c:f>pivot!$AJ$3:$AJ$4</c:f>
              <c:strCache>
                <c:ptCount val="1"/>
                <c:pt idx="0">
                  <c:v>69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pivot!$AJ$5:$AJ$16</c:f>
              <c:numCache>
                <c:formatCode>0.0</c:formatCode>
                <c:ptCount val="12"/>
                <c:pt idx="0">
                  <c:v>17</c:v>
                </c:pt>
                <c:pt idx="1">
                  <c:v>15.698970004336019</c:v>
                </c:pt>
                <c:pt idx="2">
                  <c:v>14.522878745280337</c:v>
                </c:pt>
                <c:pt idx="3">
                  <c:v>13.397940008672037</c:v>
                </c:pt>
                <c:pt idx="4">
                  <c:v>12.301029995663981</c:v>
                </c:pt>
                <c:pt idx="5">
                  <c:v>11.221848749616356</c:v>
                </c:pt>
                <c:pt idx="6">
                  <c:v>10.154901959985743</c:v>
                </c:pt>
                <c:pt idx="7">
                  <c:v>9.0969100130080562</c:v>
                </c:pt>
                <c:pt idx="8">
                  <c:v>8.0457574905606748</c:v>
                </c:pt>
                <c:pt idx="9">
                  <c:v>7</c:v>
                </c:pt>
                <c:pt idx="10">
                  <c:v>5.9586073148417746</c:v>
                </c:pt>
                <c:pt idx="11">
                  <c:v>4.9208187539523749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A50-475F-B70F-B2FF07538479}"/>
            </c:ext>
          </c:extLst>
        </c:ser>
        <c:ser>
          <c:idx val="35"/>
          <c:order val="35"/>
          <c:tx>
            <c:strRef>
              <c:f>pivot!$AK$3:$AK$4</c:f>
              <c:strCache>
                <c:ptCount val="1"/>
                <c:pt idx="0">
                  <c:v>70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pivot!$AK$5:$AK$16</c:f>
              <c:numCache>
                <c:formatCode>0.0</c:formatCode>
                <c:ptCount val="12"/>
                <c:pt idx="0">
                  <c:v>19</c:v>
                </c:pt>
                <c:pt idx="1">
                  <c:v>17.198970004336019</c:v>
                </c:pt>
                <c:pt idx="2">
                  <c:v>15.522878745280337</c:v>
                </c:pt>
                <c:pt idx="3">
                  <c:v>13.897940008672037</c:v>
                </c:pt>
                <c:pt idx="4">
                  <c:v>12.301029995663981</c:v>
                </c:pt>
                <c:pt idx="5">
                  <c:v>10.721848749616356</c:v>
                </c:pt>
                <c:pt idx="6">
                  <c:v>9.1549019599857431</c:v>
                </c:pt>
                <c:pt idx="7">
                  <c:v>7.5969100130080562</c:v>
                </c:pt>
                <c:pt idx="8">
                  <c:v>6.0457574905606748</c:v>
                </c:pt>
                <c:pt idx="9">
                  <c:v>4.5</c:v>
                </c:pt>
                <c:pt idx="10">
                  <c:v>2.9586073148417746</c:v>
                </c:pt>
                <c:pt idx="11">
                  <c:v>1.4208187539523751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50-475F-B70F-B2FF07538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579368"/>
        <c:axId val="793577400"/>
      </c:lineChart>
      <c:catAx>
        <c:axId val="793579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577400"/>
        <c:crosses val="autoZero"/>
        <c:auto val="1"/>
        <c:lblAlgn val="ctr"/>
        <c:lblOffset val="100"/>
        <c:noMultiLvlLbl val="0"/>
      </c:catAx>
      <c:valAx>
        <c:axId val="793577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579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29482</xdr:colOff>
      <xdr:row>6</xdr:row>
      <xdr:rowOff>163738</xdr:rowOff>
    </xdr:from>
    <xdr:to>
      <xdr:col>31</xdr:col>
      <xdr:colOff>156482</xdr:colOff>
      <xdr:row>21</xdr:row>
      <xdr:rowOff>117474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F7A796-D2DD-402A-B18D-541970EBA7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63500</xdr:colOff>
          <xdr:row>7</xdr:row>
          <xdr:rowOff>0</xdr:rowOff>
        </xdr:from>
        <xdr:to>
          <xdr:col>9</xdr:col>
          <xdr:colOff>482600</xdr:colOff>
          <xdr:row>9</xdr:row>
          <xdr:rowOff>165100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generate!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scio, Aurelie" refreshedDate="44169.648731944442" createdVersion="6" refreshedVersion="6" minRefreshableVersion="3" recordCount="865" xr:uid="{A19E2BE7-F5BC-4B85-9772-4D055F464AFE}">
  <cacheSource type="worksheet">
    <worksheetSource ref="A1:F1048576" sheet="data"/>
  </cacheSource>
  <cacheFields count="6">
    <cacheField name="brcid" numFmtId="0">
      <sharedItems containsString="0" containsBlank="1" containsNumber="1" containsInteger="1" minValue="1" maxValue="72" count="73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m/>
      </sharedItems>
    </cacheField>
    <cacheField name="diagnosis" numFmtId="0">
      <sharedItems containsBlank="1"/>
    </cacheField>
    <cacheField name="date" numFmtId="0">
      <sharedItems containsString="0" containsBlank="1" containsNumber="1" containsInteger="1" minValue="1" maxValue="96" count="97">
        <n v="1"/>
        <n v="2"/>
        <n v="3"/>
        <n v="4"/>
        <n v="5"/>
        <n v="6"/>
        <n v="7"/>
        <n v="8"/>
        <n v="9"/>
        <n v="10"/>
        <n v="11"/>
        <n v="12"/>
        <m/>
        <n v="96" u="1"/>
        <n v="57" u="1"/>
        <n v="34" u="1"/>
        <n v="75" u="1"/>
        <n v="13" u="1"/>
        <n v="59" u="1"/>
        <n v="36" u="1"/>
        <n v="79" u="1"/>
        <n v="61" u="1"/>
        <n v="38" u="1"/>
        <n v="83" u="1"/>
        <n v="14" u="1"/>
        <n v="63" u="1"/>
        <n v="40" u="1"/>
        <n v="87" u="1"/>
        <n v="66" u="1"/>
        <n v="42" u="1"/>
        <n v="91" u="1"/>
        <n v="15" u="1"/>
        <n v="70" u="1"/>
        <n v="44" u="1"/>
        <n v="95" u="1"/>
        <n v="74" u="1"/>
        <n v="46" u="1"/>
        <n v="16" u="1"/>
        <n v="78" u="1"/>
        <n v="48" u="1"/>
        <n v="17" u="1"/>
        <n v="82" u="1"/>
        <n v="50" u="1"/>
        <n v="18" u="1"/>
        <n v="86" u="1"/>
        <n v="52" u="1"/>
        <n v="65" u="1"/>
        <n v="19" u="1"/>
        <n v="90" u="1"/>
        <n v="54" u="1"/>
        <n v="69" u="1"/>
        <n v="20" u="1"/>
        <n v="94" u="1"/>
        <n v="56" u="1"/>
        <n v="33" u="1"/>
        <n v="73" u="1"/>
        <n v="21" u="1"/>
        <n v="58" u="1"/>
        <n v="35" u="1"/>
        <n v="77" u="1"/>
        <n v="22" u="1"/>
        <n v="60" u="1"/>
        <n v="37" u="1"/>
        <n v="81" u="1"/>
        <n v="23" u="1"/>
        <n v="62" u="1"/>
        <n v="39" u="1"/>
        <n v="85" u="1"/>
        <n v="24" u="1"/>
        <n v="64" u="1"/>
        <n v="41" u="1"/>
        <n v="89" u="1"/>
        <n v="25" u="1"/>
        <n v="68" u="1"/>
        <n v="43" u="1"/>
        <n v="93" u="1"/>
        <n v="26" u="1"/>
        <n v="72" u="1"/>
        <n v="45" u="1"/>
        <n v="27" u="1"/>
        <n v="76" u="1"/>
        <n v="47" u="1"/>
        <n v="28" u="1"/>
        <n v="80" u="1"/>
        <n v="49" u="1"/>
        <n v="29" u="1"/>
        <n v="84" u="1"/>
        <n v="51" u="1"/>
        <n v="30" u="1"/>
        <n v="88" u="1"/>
        <n v="53" u="1"/>
        <n v="31" u="1"/>
        <n v="67" u="1"/>
        <n v="92" u="1"/>
        <n v="55" u="1"/>
        <n v="32" u="1"/>
        <n v="71" u="1"/>
      </sharedItems>
    </cacheField>
    <cacheField name="score" numFmtId="0">
      <sharedItems containsString="0" containsBlank="1" containsNumber="1" minValue="0.42081875395237511" maxValue="27"/>
    </cacheField>
    <cacheField name="gender" numFmtId="0">
      <sharedItems containsBlank="1" count="3">
        <s v="male"/>
        <s v="female"/>
        <m/>
      </sharedItems>
    </cacheField>
    <cacheField name="me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65">
  <r>
    <x v="0"/>
    <s v="schizo"/>
    <x v="0"/>
    <n v="24"/>
    <x v="0"/>
    <s v="yes"/>
  </r>
  <r>
    <x v="0"/>
    <s v="schizo"/>
    <x v="1"/>
    <n v="23"/>
    <x v="0"/>
    <s v="yes"/>
  </r>
  <r>
    <x v="0"/>
    <s v="schizo"/>
    <x v="2"/>
    <n v="22"/>
    <x v="0"/>
    <s v="yes"/>
  </r>
  <r>
    <x v="0"/>
    <s v="schizo"/>
    <x v="3"/>
    <n v="21"/>
    <x v="0"/>
    <s v="yes"/>
  </r>
  <r>
    <x v="0"/>
    <s v="schizo"/>
    <x v="4"/>
    <n v="20"/>
    <x v="0"/>
    <s v="yes"/>
  </r>
  <r>
    <x v="0"/>
    <s v="schizo"/>
    <x v="5"/>
    <n v="19"/>
    <x v="0"/>
    <s v="yes"/>
  </r>
  <r>
    <x v="0"/>
    <s v="schizo"/>
    <x v="6"/>
    <n v="18"/>
    <x v="0"/>
    <s v="yes"/>
  </r>
  <r>
    <x v="0"/>
    <s v="schizo"/>
    <x v="7"/>
    <n v="17"/>
    <x v="0"/>
    <s v="yes"/>
  </r>
  <r>
    <x v="0"/>
    <s v="schizo"/>
    <x v="8"/>
    <n v="16"/>
    <x v="0"/>
    <s v="yes"/>
  </r>
  <r>
    <x v="0"/>
    <s v="schizo"/>
    <x v="9"/>
    <n v="15"/>
    <x v="0"/>
    <s v="yes"/>
  </r>
  <r>
    <x v="0"/>
    <s v="schizo"/>
    <x v="10"/>
    <n v="14"/>
    <x v="0"/>
    <s v="yes"/>
  </r>
  <r>
    <x v="0"/>
    <s v="schizo"/>
    <x v="11"/>
    <n v="13"/>
    <x v="0"/>
    <s v="yes"/>
  </r>
  <r>
    <x v="1"/>
    <s v="dementia"/>
    <x v="0"/>
    <n v="26"/>
    <x v="0"/>
    <s v="yes"/>
  </r>
  <r>
    <x v="1"/>
    <s v="dementia"/>
    <x v="1"/>
    <n v="24.5"/>
    <x v="0"/>
    <s v="yes"/>
  </r>
  <r>
    <x v="1"/>
    <s v="dementia"/>
    <x v="2"/>
    <n v="23"/>
    <x v="0"/>
    <s v="yes"/>
  </r>
  <r>
    <x v="1"/>
    <s v="dementia"/>
    <x v="3"/>
    <n v="21.5"/>
    <x v="0"/>
    <s v="yes"/>
  </r>
  <r>
    <x v="1"/>
    <s v="dementia"/>
    <x v="4"/>
    <n v="20"/>
    <x v="0"/>
    <s v="yes"/>
  </r>
  <r>
    <x v="1"/>
    <s v="dementia"/>
    <x v="5"/>
    <n v="18.5"/>
    <x v="0"/>
    <s v="yes"/>
  </r>
  <r>
    <x v="1"/>
    <s v="dementia"/>
    <x v="6"/>
    <n v="17"/>
    <x v="0"/>
    <s v="yes"/>
  </r>
  <r>
    <x v="1"/>
    <s v="dementia"/>
    <x v="7"/>
    <n v="15.5"/>
    <x v="0"/>
    <s v="yes"/>
  </r>
  <r>
    <x v="1"/>
    <s v="dementia"/>
    <x v="8"/>
    <n v="14"/>
    <x v="0"/>
    <s v="yes"/>
  </r>
  <r>
    <x v="1"/>
    <s v="dementia"/>
    <x v="9"/>
    <n v="12.5"/>
    <x v="0"/>
    <s v="yes"/>
  </r>
  <r>
    <x v="1"/>
    <s v="dementia"/>
    <x v="10"/>
    <n v="11"/>
    <x v="0"/>
    <s v="yes"/>
  </r>
  <r>
    <x v="1"/>
    <s v="dementia"/>
    <x v="11"/>
    <n v="9.5"/>
    <x v="0"/>
    <s v="yes"/>
  </r>
  <r>
    <x v="2"/>
    <s v="schizo"/>
    <x v="0"/>
    <n v="25"/>
    <x v="1"/>
    <s v="yes"/>
  </r>
  <r>
    <x v="2"/>
    <s v="schizo"/>
    <x v="1"/>
    <n v="24.5"/>
    <x v="1"/>
    <s v="yes"/>
  </r>
  <r>
    <x v="2"/>
    <s v="schizo"/>
    <x v="2"/>
    <n v="24"/>
    <x v="1"/>
    <s v="yes"/>
  </r>
  <r>
    <x v="2"/>
    <s v="schizo"/>
    <x v="3"/>
    <n v="23.5"/>
    <x v="1"/>
    <s v="yes"/>
  </r>
  <r>
    <x v="2"/>
    <s v="schizo"/>
    <x v="4"/>
    <n v="23"/>
    <x v="1"/>
    <s v="yes"/>
  </r>
  <r>
    <x v="2"/>
    <s v="schizo"/>
    <x v="5"/>
    <n v="22.5"/>
    <x v="1"/>
    <s v="yes"/>
  </r>
  <r>
    <x v="2"/>
    <s v="schizo"/>
    <x v="6"/>
    <n v="22"/>
    <x v="1"/>
    <s v="yes"/>
  </r>
  <r>
    <x v="2"/>
    <s v="schizo"/>
    <x v="7"/>
    <n v="21.5"/>
    <x v="1"/>
    <s v="yes"/>
  </r>
  <r>
    <x v="2"/>
    <s v="schizo"/>
    <x v="8"/>
    <n v="21"/>
    <x v="1"/>
    <s v="yes"/>
  </r>
  <r>
    <x v="2"/>
    <s v="schizo"/>
    <x v="9"/>
    <n v="20.5"/>
    <x v="1"/>
    <s v="yes"/>
  </r>
  <r>
    <x v="2"/>
    <s v="schizo"/>
    <x v="10"/>
    <n v="20"/>
    <x v="1"/>
    <s v="yes"/>
  </r>
  <r>
    <x v="2"/>
    <s v="schizo"/>
    <x v="11"/>
    <n v="19.5"/>
    <x v="1"/>
    <s v="yes"/>
  </r>
  <r>
    <x v="3"/>
    <s v="dementia"/>
    <x v="0"/>
    <n v="27"/>
    <x v="1"/>
    <s v="yes"/>
  </r>
  <r>
    <x v="3"/>
    <s v="dementia"/>
    <x v="1"/>
    <n v="25.8"/>
    <x v="1"/>
    <s v="yes"/>
  </r>
  <r>
    <x v="3"/>
    <s v="dementia"/>
    <x v="2"/>
    <n v="24.6"/>
    <x v="1"/>
    <s v="yes"/>
  </r>
  <r>
    <x v="3"/>
    <s v="dementia"/>
    <x v="3"/>
    <n v="23.400000000000002"/>
    <x v="1"/>
    <s v="yes"/>
  </r>
  <r>
    <x v="3"/>
    <s v="dementia"/>
    <x v="4"/>
    <n v="22.200000000000003"/>
    <x v="1"/>
    <s v="yes"/>
  </r>
  <r>
    <x v="3"/>
    <s v="dementia"/>
    <x v="5"/>
    <n v="21.000000000000004"/>
    <x v="1"/>
    <s v="yes"/>
  </r>
  <r>
    <x v="3"/>
    <s v="dementia"/>
    <x v="6"/>
    <n v="19.800000000000004"/>
    <x v="1"/>
    <s v="yes"/>
  </r>
  <r>
    <x v="3"/>
    <s v="dementia"/>
    <x v="7"/>
    <n v="18.600000000000005"/>
    <x v="1"/>
    <s v="yes"/>
  </r>
  <r>
    <x v="3"/>
    <s v="dementia"/>
    <x v="8"/>
    <n v="17.400000000000006"/>
    <x v="1"/>
    <s v="yes"/>
  </r>
  <r>
    <x v="3"/>
    <s v="dementia"/>
    <x v="9"/>
    <n v="16.200000000000006"/>
    <x v="1"/>
    <s v="yes"/>
  </r>
  <r>
    <x v="3"/>
    <s v="dementia"/>
    <x v="10"/>
    <n v="15.000000000000007"/>
    <x v="1"/>
    <s v="yes"/>
  </r>
  <r>
    <x v="3"/>
    <s v="dementia"/>
    <x v="11"/>
    <n v="13.800000000000008"/>
    <x v="1"/>
    <s v="yes"/>
  </r>
  <r>
    <x v="4"/>
    <s v="schizo"/>
    <x v="0"/>
    <n v="24"/>
    <x v="0"/>
    <s v="no"/>
  </r>
  <r>
    <x v="4"/>
    <s v="schizo"/>
    <x v="1"/>
    <n v="21.301029995663981"/>
    <x v="0"/>
    <s v="no"/>
  </r>
  <r>
    <x v="4"/>
    <s v="schizo"/>
    <x v="2"/>
    <n v="20.292429823902065"/>
    <x v="0"/>
    <s v="no"/>
  </r>
  <r>
    <x v="4"/>
    <s v="schizo"/>
    <x v="3"/>
    <n v="19.283996656365201"/>
    <x v="0"/>
    <s v="no"/>
  </r>
  <r>
    <x v="4"/>
    <s v="schizo"/>
    <x v="4"/>
    <n v="18.275724130399212"/>
    <x v="0"/>
    <s v="no"/>
  </r>
  <r>
    <x v="4"/>
    <s v="schizo"/>
    <x v="5"/>
    <n v="17.267606240177031"/>
    <x v="0"/>
    <s v="no"/>
  </r>
  <r>
    <x v="4"/>
    <s v="schizo"/>
    <x v="6"/>
    <n v="16.259637310505756"/>
    <x v="0"/>
    <s v="no"/>
  </r>
  <r>
    <x v="4"/>
    <s v="schizo"/>
    <x v="7"/>
    <n v="15.251811972993799"/>
    <x v="0"/>
    <s v="no"/>
  </r>
  <r>
    <x v="4"/>
    <s v="schizo"/>
    <x v="8"/>
    <n v="14.244125144327509"/>
    <x v="0"/>
    <s v="no"/>
  </r>
  <r>
    <x v="4"/>
    <s v="schizo"/>
    <x v="9"/>
    <n v="13.236572006437063"/>
    <x v="0"/>
    <s v="no"/>
  </r>
  <r>
    <x v="4"/>
    <s v="schizo"/>
    <x v="10"/>
    <n v="12.229147988357855"/>
    <x v="0"/>
    <s v="no"/>
  </r>
  <r>
    <x v="4"/>
    <s v="schizo"/>
    <x v="11"/>
    <n v="11.221848749616356"/>
    <x v="0"/>
    <s v="no"/>
  </r>
  <r>
    <x v="5"/>
    <s v="dementia"/>
    <x v="0"/>
    <n v="24.214670164989233"/>
    <x v="0"/>
    <s v="no"/>
  </r>
  <r>
    <x v="5"/>
    <s v="dementia"/>
    <x v="1"/>
    <n v="22.707608310501747"/>
    <x v="0"/>
    <s v="no"/>
  </r>
  <r>
    <x v="5"/>
    <s v="dementia"/>
    <x v="2"/>
    <n v="21.200659450546418"/>
    <x v="0"/>
    <s v="no"/>
  </r>
  <r>
    <x v="5"/>
    <s v="dementia"/>
    <x v="3"/>
    <n v="19.693820026016112"/>
    <x v="0"/>
    <s v="no"/>
  </r>
  <r>
    <x v="5"/>
    <s v="dementia"/>
    <x v="4"/>
    <n v="18.187086643357144"/>
    <x v="0"/>
    <s v="no"/>
  </r>
  <r>
    <x v="5"/>
    <s v="dementia"/>
    <x v="5"/>
    <n v="16.680456064458131"/>
    <x v="0"/>
    <s v="no"/>
  </r>
  <r>
    <x v="5"/>
    <s v="dementia"/>
    <x v="6"/>
    <n v="15.173925197299173"/>
    <x v="0"/>
    <s v="no"/>
  </r>
  <r>
    <x v="5"/>
    <s v="dementia"/>
    <x v="7"/>
    <n v="13.667491087293763"/>
    <x v="0"/>
    <s v="no"/>
  </r>
  <r>
    <x v="5"/>
    <s v="dementia"/>
    <x v="8"/>
    <n v="12.161150909262744"/>
    <x v="0"/>
    <s v="no"/>
  </r>
  <r>
    <x v="5"/>
    <s v="dementia"/>
    <x v="9"/>
    <n v="10.654901959985743"/>
    <x v="0"/>
    <s v="no"/>
  </r>
  <r>
    <x v="5"/>
    <s v="dementia"/>
    <x v="10"/>
    <n v="9.1487416512809254"/>
    <x v="0"/>
    <s v="no"/>
  </r>
  <r>
    <x v="5"/>
    <s v="dementia"/>
    <x v="11"/>
    <n v="7.642667503568731"/>
    <x v="0"/>
    <s v="no"/>
  </r>
  <r>
    <x v="6"/>
    <s v="schizo"/>
    <x v="0"/>
    <n v="23.136677139879545"/>
    <x v="1"/>
    <s v="no"/>
  </r>
  <r>
    <x v="6"/>
    <s v="schizo"/>
    <x v="1"/>
    <n v="22.630768280269024"/>
    <x v="1"/>
    <s v="no"/>
  </r>
  <r>
    <x v="6"/>
    <s v="schizo"/>
    <x v="2"/>
    <n v="22.1249387366083"/>
    <x v="1"/>
    <s v="no"/>
  </r>
  <r>
    <x v="6"/>
    <s v="schizo"/>
    <x v="3"/>
    <n v="21.619186407719209"/>
    <x v="1"/>
    <s v="no"/>
  </r>
  <r>
    <x v="6"/>
    <s v="schizo"/>
    <x v="4"/>
    <n v="21.113509274827518"/>
    <x v="1"/>
    <s v="no"/>
  </r>
  <r>
    <x v="6"/>
    <s v="schizo"/>
    <x v="5"/>
    <n v="20.607905397309519"/>
    <x v="1"/>
    <s v="no"/>
  </r>
  <r>
    <x v="6"/>
    <s v="schizo"/>
    <x v="6"/>
    <n v="20.102372908709558"/>
    <x v="1"/>
    <s v="no"/>
  </r>
  <r>
    <x v="6"/>
    <s v="schizo"/>
    <x v="7"/>
    <n v="19.596910013008056"/>
    <x v="1"/>
    <s v="no"/>
  </r>
  <r>
    <x v="6"/>
    <s v="schizo"/>
    <x v="8"/>
    <n v="19.09151498112135"/>
    <x v="1"/>
    <s v="no"/>
  </r>
  <r>
    <x v="6"/>
    <s v="schizo"/>
    <x v="9"/>
    <n v="18.586186147616282"/>
    <x v="1"/>
    <s v="no"/>
  </r>
  <r>
    <x v="6"/>
    <s v="schizo"/>
    <x v="10"/>
    <n v="18.080921907623924"/>
    <x v="1"/>
    <s v="no"/>
  </r>
  <r>
    <x v="6"/>
    <s v="schizo"/>
    <x v="11"/>
    <n v="17.575720713938118"/>
    <x v="1"/>
    <s v="no"/>
  </r>
  <r>
    <x v="7"/>
    <s v="dementia"/>
    <x v="0"/>
    <n v="25.070581074285709"/>
    <x v="1"/>
    <s v="no"/>
  </r>
  <r>
    <x v="7"/>
    <s v="dementia"/>
    <x v="1"/>
    <n v="23.865501548756434"/>
    <x v="1"/>
    <s v="no"/>
  </r>
  <r>
    <x v="7"/>
    <s v="dementia"/>
    <x v="2"/>
    <n v="22.660480747381381"/>
    <x v="1"/>
    <s v="no"/>
  </r>
  <r>
    <x v="7"/>
    <s v="dementia"/>
    <x v="3"/>
    <n v="21.455517327849833"/>
    <x v="1"/>
    <s v="no"/>
  </r>
  <r>
    <x v="7"/>
    <s v="dementia"/>
    <x v="4"/>
    <n v="20.250609993355091"/>
    <x v="1"/>
    <s v="no"/>
  </r>
  <r>
    <x v="7"/>
    <s v="dementia"/>
    <x v="5"/>
    <n v="19.045757490560678"/>
    <x v="1"/>
    <s v="no"/>
  </r>
  <r>
    <x v="7"/>
    <s v="dementia"/>
    <x v="6"/>
    <n v="17.84095860767891"/>
    <x v="1"/>
    <s v="no"/>
  </r>
  <r>
    <x v="7"/>
    <s v="dementia"/>
    <x v="7"/>
    <n v="16.636212172654449"/>
    <x v="1"/>
    <s v="no"/>
  </r>
  <r>
    <x v="7"/>
    <s v="dementia"/>
    <x v="8"/>
    <n v="15.43151705144607"/>
    <x v="1"/>
    <s v="no"/>
  </r>
  <r>
    <x v="7"/>
    <s v="dementia"/>
    <x v="9"/>
    <n v="14.226872146400307"/>
    <x v="1"/>
    <s v="no"/>
  </r>
  <r>
    <x v="7"/>
    <s v="dementia"/>
    <x v="10"/>
    <n v="13.022276394711159"/>
    <x v="1"/>
    <s v="no"/>
  </r>
  <r>
    <x v="7"/>
    <s v="dementia"/>
    <x v="11"/>
    <n v="11.817728766960439"/>
    <x v="1"/>
    <s v="no"/>
  </r>
  <r>
    <x v="8"/>
    <s v="schizo"/>
    <x v="0"/>
    <n v="22"/>
    <x v="0"/>
    <s v="yes"/>
  </r>
  <r>
    <x v="8"/>
    <s v="schizo"/>
    <x v="1"/>
    <n v="21"/>
    <x v="0"/>
    <s v="yes"/>
  </r>
  <r>
    <x v="8"/>
    <s v="schizo"/>
    <x v="2"/>
    <n v="20"/>
    <x v="0"/>
    <s v="yes"/>
  </r>
  <r>
    <x v="8"/>
    <s v="schizo"/>
    <x v="3"/>
    <n v="19"/>
    <x v="0"/>
    <s v="yes"/>
  </r>
  <r>
    <x v="8"/>
    <s v="schizo"/>
    <x v="4"/>
    <n v="18"/>
    <x v="0"/>
    <s v="yes"/>
  </r>
  <r>
    <x v="8"/>
    <s v="schizo"/>
    <x v="5"/>
    <n v="17"/>
    <x v="0"/>
    <s v="yes"/>
  </r>
  <r>
    <x v="8"/>
    <s v="schizo"/>
    <x v="6"/>
    <n v="16"/>
    <x v="0"/>
    <s v="yes"/>
  </r>
  <r>
    <x v="8"/>
    <s v="schizo"/>
    <x v="7"/>
    <n v="15"/>
    <x v="0"/>
    <s v="yes"/>
  </r>
  <r>
    <x v="8"/>
    <s v="schizo"/>
    <x v="8"/>
    <n v="14"/>
    <x v="0"/>
    <s v="yes"/>
  </r>
  <r>
    <x v="8"/>
    <s v="schizo"/>
    <x v="9"/>
    <n v="13"/>
    <x v="0"/>
    <s v="yes"/>
  </r>
  <r>
    <x v="8"/>
    <s v="schizo"/>
    <x v="10"/>
    <n v="12"/>
    <x v="0"/>
    <s v="yes"/>
  </r>
  <r>
    <x v="8"/>
    <s v="schizo"/>
    <x v="11"/>
    <n v="11"/>
    <x v="0"/>
    <s v="yes"/>
  </r>
  <r>
    <x v="9"/>
    <s v="dementia"/>
    <x v="0"/>
    <n v="24"/>
    <x v="0"/>
    <s v="yes"/>
  </r>
  <r>
    <x v="9"/>
    <s v="dementia"/>
    <x v="1"/>
    <n v="22.5"/>
    <x v="0"/>
    <s v="yes"/>
  </r>
  <r>
    <x v="9"/>
    <s v="dementia"/>
    <x v="2"/>
    <n v="21"/>
    <x v="0"/>
    <s v="yes"/>
  </r>
  <r>
    <x v="9"/>
    <s v="dementia"/>
    <x v="3"/>
    <n v="19.5"/>
    <x v="0"/>
    <s v="yes"/>
  </r>
  <r>
    <x v="9"/>
    <s v="dementia"/>
    <x v="4"/>
    <n v="18"/>
    <x v="0"/>
    <s v="yes"/>
  </r>
  <r>
    <x v="9"/>
    <s v="dementia"/>
    <x v="5"/>
    <n v="16.5"/>
    <x v="0"/>
    <s v="yes"/>
  </r>
  <r>
    <x v="9"/>
    <s v="dementia"/>
    <x v="6"/>
    <n v="15"/>
    <x v="0"/>
    <s v="yes"/>
  </r>
  <r>
    <x v="9"/>
    <s v="dementia"/>
    <x v="7"/>
    <n v="13.5"/>
    <x v="0"/>
    <s v="yes"/>
  </r>
  <r>
    <x v="9"/>
    <s v="dementia"/>
    <x v="8"/>
    <n v="12"/>
    <x v="0"/>
    <s v="yes"/>
  </r>
  <r>
    <x v="9"/>
    <s v="dementia"/>
    <x v="9"/>
    <n v="10.5"/>
    <x v="0"/>
    <s v="yes"/>
  </r>
  <r>
    <x v="9"/>
    <s v="dementia"/>
    <x v="10"/>
    <n v="9"/>
    <x v="0"/>
    <s v="yes"/>
  </r>
  <r>
    <x v="9"/>
    <s v="dementia"/>
    <x v="11"/>
    <n v="7.5"/>
    <x v="0"/>
    <s v="yes"/>
  </r>
  <r>
    <x v="10"/>
    <s v="schizo"/>
    <x v="0"/>
    <n v="23"/>
    <x v="1"/>
    <s v="yes"/>
  </r>
  <r>
    <x v="10"/>
    <s v="schizo"/>
    <x v="1"/>
    <n v="22.5"/>
    <x v="1"/>
    <s v="yes"/>
  </r>
  <r>
    <x v="10"/>
    <s v="schizo"/>
    <x v="2"/>
    <n v="22"/>
    <x v="1"/>
    <s v="yes"/>
  </r>
  <r>
    <x v="10"/>
    <s v="schizo"/>
    <x v="3"/>
    <n v="21.5"/>
    <x v="1"/>
    <s v="yes"/>
  </r>
  <r>
    <x v="10"/>
    <s v="schizo"/>
    <x v="4"/>
    <n v="21"/>
    <x v="1"/>
    <s v="yes"/>
  </r>
  <r>
    <x v="10"/>
    <s v="schizo"/>
    <x v="5"/>
    <n v="20.5"/>
    <x v="1"/>
    <s v="yes"/>
  </r>
  <r>
    <x v="10"/>
    <s v="schizo"/>
    <x v="6"/>
    <n v="20"/>
    <x v="1"/>
    <s v="yes"/>
  </r>
  <r>
    <x v="10"/>
    <s v="schizo"/>
    <x v="7"/>
    <n v="19.5"/>
    <x v="1"/>
    <s v="yes"/>
  </r>
  <r>
    <x v="10"/>
    <s v="schizo"/>
    <x v="8"/>
    <n v="19"/>
    <x v="1"/>
    <s v="yes"/>
  </r>
  <r>
    <x v="10"/>
    <s v="schizo"/>
    <x v="9"/>
    <n v="18.5"/>
    <x v="1"/>
    <s v="yes"/>
  </r>
  <r>
    <x v="10"/>
    <s v="schizo"/>
    <x v="10"/>
    <n v="18"/>
    <x v="1"/>
    <s v="yes"/>
  </r>
  <r>
    <x v="10"/>
    <s v="schizo"/>
    <x v="11"/>
    <n v="17.5"/>
    <x v="1"/>
    <s v="yes"/>
  </r>
  <r>
    <x v="11"/>
    <s v="dementia"/>
    <x v="0"/>
    <n v="25"/>
    <x v="1"/>
    <s v="yes"/>
  </r>
  <r>
    <x v="11"/>
    <s v="dementia"/>
    <x v="1"/>
    <n v="23.8"/>
    <x v="1"/>
    <s v="yes"/>
  </r>
  <r>
    <x v="11"/>
    <s v="dementia"/>
    <x v="2"/>
    <n v="22.6"/>
    <x v="1"/>
    <s v="yes"/>
  </r>
  <r>
    <x v="11"/>
    <s v="dementia"/>
    <x v="3"/>
    <n v="21.400000000000002"/>
    <x v="1"/>
    <s v="yes"/>
  </r>
  <r>
    <x v="11"/>
    <s v="dementia"/>
    <x v="4"/>
    <n v="20.200000000000003"/>
    <x v="1"/>
    <s v="yes"/>
  </r>
  <r>
    <x v="11"/>
    <s v="dementia"/>
    <x v="5"/>
    <n v="19.000000000000004"/>
    <x v="1"/>
    <s v="yes"/>
  </r>
  <r>
    <x v="11"/>
    <s v="dementia"/>
    <x v="6"/>
    <n v="17.800000000000004"/>
    <x v="1"/>
    <s v="yes"/>
  </r>
  <r>
    <x v="11"/>
    <s v="dementia"/>
    <x v="7"/>
    <n v="16.600000000000005"/>
    <x v="1"/>
    <s v="yes"/>
  </r>
  <r>
    <x v="11"/>
    <s v="dementia"/>
    <x v="8"/>
    <n v="15.400000000000006"/>
    <x v="1"/>
    <s v="yes"/>
  </r>
  <r>
    <x v="11"/>
    <s v="dementia"/>
    <x v="9"/>
    <n v="14.200000000000006"/>
    <x v="1"/>
    <s v="yes"/>
  </r>
  <r>
    <x v="11"/>
    <s v="dementia"/>
    <x v="10"/>
    <n v="13.000000000000007"/>
    <x v="1"/>
    <s v="yes"/>
  </r>
  <r>
    <x v="11"/>
    <s v="dementia"/>
    <x v="11"/>
    <n v="11.800000000000008"/>
    <x v="1"/>
    <s v="yes"/>
  </r>
  <r>
    <x v="12"/>
    <s v="schizo"/>
    <x v="0"/>
    <n v="22"/>
    <x v="0"/>
    <s v="no"/>
  </r>
  <r>
    <x v="12"/>
    <s v="schizo"/>
    <x v="1"/>
    <n v="20.698970004336019"/>
    <x v="0"/>
    <s v="no"/>
  </r>
  <r>
    <x v="12"/>
    <s v="schizo"/>
    <x v="2"/>
    <n v="19.522878745280337"/>
    <x v="0"/>
    <s v="no"/>
  </r>
  <r>
    <x v="12"/>
    <s v="schizo"/>
    <x v="3"/>
    <n v="18.397940008672037"/>
    <x v="0"/>
    <s v="no"/>
  </r>
  <r>
    <x v="12"/>
    <s v="schizo"/>
    <x v="4"/>
    <n v="17.301029995663981"/>
    <x v="0"/>
    <s v="no"/>
  </r>
  <r>
    <x v="12"/>
    <s v="schizo"/>
    <x v="5"/>
    <n v="16.221848749616356"/>
    <x v="0"/>
    <s v="no"/>
  </r>
  <r>
    <x v="12"/>
    <s v="schizo"/>
    <x v="6"/>
    <n v="15.154901959985743"/>
    <x v="0"/>
    <s v="no"/>
  </r>
  <r>
    <x v="12"/>
    <s v="schizo"/>
    <x v="7"/>
    <n v="14.096910013008056"/>
    <x v="0"/>
    <s v="no"/>
  </r>
  <r>
    <x v="12"/>
    <s v="schizo"/>
    <x v="8"/>
    <n v="13.045757490560675"/>
    <x v="0"/>
    <s v="no"/>
  </r>
  <r>
    <x v="12"/>
    <s v="schizo"/>
    <x v="9"/>
    <n v="12"/>
    <x v="0"/>
    <s v="no"/>
  </r>
  <r>
    <x v="12"/>
    <s v="schizo"/>
    <x v="10"/>
    <n v="10.958607314841775"/>
    <x v="0"/>
    <s v="no"/>
  </r>
  <r>
    <x v="12"/>
    <s v="schizo"/>
    <x v="11"/>
    <n v="9.9208187539523749"/>
    <x v="0"/>
    <s v="no"/>
  </r>
  <r>
    <x v="13"/>
    <s v="dementia"/>
    <x v="0"/>
    <n v="24"/>
    <x v="0"/>
    <s v="no"/>
  </r>
  <r>
    <x v="13"/>
    <s v="dementia"/>
    <x v="1"/>
    <n v="22.198970004336019"/>
    <x v="0"/>
    <s v="no"/>
  </r>
  <r>
    <x v="13"/>
    <s v="dementia"/>
    <x v="2"/>
    <n v="20.522878745280337"/>
    <x v="0"/>
    <s v="no"/>
  </r>
  <r>
    <x v="13"/>
    <s v="dementia"/>
    <x v="3"/>
    <n v="18.897940008672037"/>
    <x v="0"/>
    <s v="no"/>
  </r>
  <r>
    <x v="13"/>
    <s v="dementia"/>
    <x v="4"/>
    <n v="17.301029995663981"/>
    <x v="0"/>
    <s v="no"/>
  </r>
  <r>
    <x v="13"/>
    <s v="dementia"/>
    <x v="5"/>
    <n v="15.721848749616356"/>
    <x v="0"/>
    <s v="no"/>
  </r>
  <r>
    <x v="13"/>
    <s v="dementia"/>
    <x v="6"/>
    <n v="14.154901959985743"/>
    <x v="0"/>
    <s v="no"/>
  </r>
  <r>
    <x v="13"/>
    <s v="dementia"/>
    <x v="7"/>
    <n v="12.596910013008056"/>
    <x v="0"/>
    <s v="no"/>
  </r>
  <r>
    <x v="13"/>
    <s v="dementia"/>
    <x v="8"/>
    <n v="11.045757490560675"/>
    <x v="0"/>
    <s v="no"/>
  </r>
  <r>
    <x v="13"/>
    <s v="dementia"/>
    <x v="9"/>
    <n v="9.5"/>
    <x v="0"/>
    <s v="no"/>
  </r>
  <r>
    <x v="13"/>
    <s v="dementia"/>
    <x v="10"/>
    <n v="7.9586073148417746"/>
    <x v="0"/>
    <s v="no"/>
  </r>
  <r>
    <x v="13"/>
    <s v="dementia"/>
    <x v="11"/>
    <n v="6.4208187539523749"/>
    <x v="0"/>
    <s v="no"/>
  </r>
  <r>
    <x v="14"/>
    <s v="schizo"/>
    <x v="0"/>
    <n v="23"/>
    <x v="1"/>
    <s v="no"/>
  </r>
  <r>
    <x v="14"/>
    <s v="schizo"/>
    <x v="1"/>
    <n v="22.198970004336019"/>
    <x v="1"/>
    <s v="no"/>
  </r>
  <r>
    <x v="14"/>
    <s v="schizo"/>
    <x v="2"/>
    <n v="21.522878745280337"/>
    <x v="1"/>
    <s v="no"/>
  </r>
  <r>
    <x v="14"/>
    <s v="schizo"/>
    <x v="3"/>
    <n v="20.897940008672037"/>
    <x v="1"/>
    <s v="no"/>
  </r>
  <r>
    <x v="14"/>
    <s v="schizo"/>
    <x v="4"/>
    <n v="20.301029995663981"/>
    <x v="1"/>
    <s v="no"/>
  </r>
  <r>
    <x v="14"/>
    <s v="schizo"/>
    <x v="5"/>
    <n v="19.721848749616356"/>
    <x v="1"/>
    <s v="no"/>
  </r>
  <r>
    <x v="14"/>
    <s v="schizo"/>
    <x v="6"/>
    <n v="19.154901959985743"/>
    <x v="1"/>
    <s v="no"/>
  </r>
  <r>
    <x v="14"/>
    <s v="schizo"/>
    <x v="7"/>
    <n v="18.596910013008056"/>
    <x v="1"/>
    <s v="no"/>
  </r>
  <r>
    <x v="14"/>
    <s v="schizo"/>
    <x v="8"/>
    <n v="18.045757490560675"/>
    <x v="1"/>
    <s v="no"/>
  </r>
  <r>
    <x v="14"/>
    <s v="schizo"/>
    <x v="9"/>
    <n v="17.5"/>
    <x v="1"/>
    <s v="no"/>
  </r>
  <r>
    <x v="14"/>
    <s v="schizo"/>
    <x v="10"/>
    <n v="16.958607314841775"/>
    <x v="1"/>
    <s v="no"/>
  </r>
  <r>
    <x v="14"/>
    <s v="schizo"/>
    <x v="11"/>
    <n v="16.420818753952375"/>
    <x v="1"/>
    <s v="no"/>
  </r>
  <r>
    <x v="15"/>
    <s v="dementia"/>
    <x v="0"/>
    <n v="25"/>
    <x v="1"/>
    <s v="no"/>
  </r>
  <r>
    <x v="15"/>
    <s v="dementia"/>
    <x v="1"/>
    <n v="23.498970004336019"/>
    <x v="1"/>
    <s v="no"/>
  </r>
  <r>
    <x v="15"/>
    <s v="dementia"/>
    <x v="2"/>
    <n v="22.122878745280339"/>
    <x v="1"/>
    <s v="no"/>
  </r>
  <r>
    <x v="15"/>
    <s v="dementia"/>
    <x v="3"/>
    <n v="20.79794000867204"/>
    <x v="1"/>
    <s v="no"/>
  </r>
  <r>
    <x v="15"/>
    <s v="dementia"/>
    <x v="4"/>
    <n v="19.501029995663984"/>
    <x v="1"/>
    <s v="no"/>
  </r>
  <r>
    <x v="15"/>
    <s v="dementia"/>
    <x v="5"/>
    <n v="18.22184874961636"/>
    <x v="1"/>
    <s v="no"/>
  </r>
  <r>
    <x v="15"/>
    <s v="dementia"/>
    <x v="6"/>
    <n v="16.954901959985747"/>
    <x v="1"/>
    <s v="no"/>
  </r>
  <r>
    <x v="15"/>
    <s v="dementia"/>
    <x v="7"/>
    <n v="15.696910013008061"/>
    <x v="1"/>
    <s v="no"/>
  </r>
  <r>
    <x v="15"/>
    <s v="dementia"/>
    <x v="8"/>
    <n v="14.44575749056068"/>
    <x v="1"/>
    <s v="no"/>
  </r>
  <r>
    <x v="15"/>
    <s v="dementia"/>
    <x v="9"/>
    <n v="13.200000000000006"/>
    <x v="1"/>
    <s v="no"/>
  </r>
  <r>
    <x v="15"/>
    <s v="dementia"/>
    <x v="10"/>
    <n v="11.958607314841782"/>
    <x v="1"/>
    <s v="no"/>
  </r>
  <r>
    <x v="15"/>
    <s v="dementia"/>
    <x v="11"/>
    <n v="10.720818753952383"/>
    <x v="1"/>
    <s v="no"/>
  </r>
  <r>
    <x v="16"/>
    <s v="schizo"/>
    <x v="0"/>
    <n v="20"/>
    <x v="0"/>
    <s v="yes"/>
  </r>
  <r>
    <x v="16"/>
    <s v="schizo"/>
    <x v="1"/>
    <n v="19"/>
    <x v="0"/>
    <s v="yes"/>
  </r>
  <r>
    <x v="16"/>
    <s v="schizo"/>
    <x v="2"/>
    <n v="18"/>
    <x v="0"/>
    <s v="yes"/>
  </r>
  <r>
    <x v="16"/>
    <s v="schizo"/>
    <x v="3"/>
    <n v="17"/>
    <x v="0"/>
    <s v="yes"/>
  </r>
  <r>
    <x v="16"/>
    <s v="schizo"/>
    <x v="4"/>
    <n v="16"/>
    <x v="0"/>
    <s v="yes"/>
  </r>
  <r>
    <x v="16"/>
    <s v="schizo"/>
    <x v="5"/>
    <n v="15"/>
    <x v="0"/>
    <s v="yes"/>
  </r>
  <r>
    <x v="16"/>
    <s v="schizo"/>
    <x v="6"/>
    <n v="14"/>
    <x v="0"/>
    <s v="yes"/>
  </r>
  <r>
    <x v="16"/>
    <s v="schizo"/>
    <x v="7"/>
    <n v="13"/>
    <x v="0"/>
    <s v="yes"/>
  </r>
  <r>
    <x v="16"/>
    <s v="schizo"/>
    <x v="8"/>
    <n v="12"/>
    <x v="0"/>
    <s v="yes"/>
  </r>
  <r>
    <x v="16"/>
    <s v="schizo"/>
    <x v="9"/>
    <n v="11"/>
    <x v="0"/>
    <s v="yes"/>
  </r>
  <r>
    <x v="16"/>
    <s v="schizo"/>
    <x v="10"/>
    <n v="10"/>
    <x v="0"/>
    <s v="yes"/>
  </r>
  <r>
    <x v="16"/>
    <s v="schizo"/>
    <x v="11"/>
    <n v="9"/>
    <x v="0"/>
    <s v="yes"/>
  </r>
  <r>
    <x v="17"/>
    <s v="dementia"/>
    <x v="0"/>
    <n v="22"/>
    <x v="0"/>
    <s v="yes"/>
  </r>
  <r>
    <x v="17"/>
    <s v="dementia"/>
    <x v="1"/>
    <n v="20.5"/>
    <x v="0"/>
    <s v="yes"/>
  </r>
  <r>
    <x v="17"/>
    <s v="dementia"/>
    <x v="2"/>
    <n v="19"/>
    <x v="0"/>
    <s v="yes"/>
  </r>
  <r>
    <x v="17"/>
    <s v="dementia"/>
    <x v="3"/>
    <n v="17.5"/>
    <x v="0"/>
    <s v="yes"/>
  </r>
  <r>
    <x v="17"/>
    <s v="dementia"/>
    <x v="4"/>
    <n v="16"/>
    <x v="0"/>
    <s v="yes"/>
  </r>
  <r>
    <x v="17"/>
    <s v="dementia"/>
    <x v="5"/>
    <n v="14.5"/>
    <x v="0"/>
    <s v="yes"/>
  </r>
  <r>
    <x v="17"/>
    <s v="dementia"/>
    <x v="6"/>
    <n v="13"/>
    <x v="0"/>
    <s v="yes"/>
  </r>
  <r>
    <x v="17"/>
    <s v="dementia"/>
    <x v="7"/>
    <n v="11.5"/>
    <x v="0"/>
    <s v="yes"/>
  </r>
  <r>
    <x v="17"/>
    <s v="dementia"/>
    <x v="8"/>
    <n v="10"/>
    <x v="0"/>
    <s v="yes"/>
  </r>
  <r>
    <x v="17"/>
    <s v="dementia"/>
    <x v="9"/>
    <n v="8.5"/>
    <x v="0"/>
    <s v="yes"/>
  </r>
  <r>
    <x v="17"/>
    <s v="dementia"/>
    <x v="10"/>
    <n v="7"/>
    <x v="0"/>
    <s v="yes"/>
  </r>
  <r>
    <x v="17"/>
    <s v="dementia"/>
    <x v="11"/>
    <n v="5.5"/>
    <x v="0"/>
    <s v="yes"/>
  </r>
  <r>
    <x v="18"/>
    <s v="schizo"/>
    <x v="0"/>
    <n v="21"/>
    <x v="1"/>
    <s v="yes"/>
  </r>
  <r>
    <x v="18"/>
    <s v="schizo"/>
    <x v="1"/>
    <n v="20.5"/>
    <x v="1"/>
    <s v="yes"/>
  </r>
  <r>
    <x v="18"/>
    <s v="schizo"/>
    <x v="2"/>
    <n v="20"/>
    <x v="1"/>
    <s v="yes"/>
  </r>
  <r>
    <x v="18"/>
    <s v="schizo"/>
    <x v="3"/>
    <n v="19.5"/>
    <x v="1"/>
    <s v="yes"/>
  </r>
  <r>
    <x v="18"/>
    <s v="schizo"/>
    <x v="4"/>
    <n v="19"/>
    <x v="1"/>
    <s v="yes"/>
  </r>
  <r>
    <x v="18"/>
    <s v="schizo"/>
    <x v="5"/>
    <n v="18.5"/>
    <x v="1"/>
    <s v="yes"/>
  </r>
  <r>
    <x v="18"/>
    <s v="schizo"/>
    <x v="6"/>
    <n v="18"/>
    <x v="1"/>
    <s v="yes"/>
  </r>
  <r>
    <x v="18"/>
    <s v="schizo"/>
    <x v="7"/>
    <n v="17.5"/>
    <x v="1"/>
    <s v="yes"/>
  </r>
  <r>
    <x v="18"/>
    <s v="schizo"/>
    <x v="8"/>
    <n v="17"/>
    <x v="1"/>
    <s v="yes"/>
  </r>
  <r>
    <x v="18"/>
    <s v="schizo"/>
    <x v="9"/>
    <n v="16.5"/>
    <x v="1"/>
    <s v="yes"/>
  </r>
  <r>
    <x v="18"/>
    <s v="schizo"/>
    <x v="10"/>
    <n v="16"/>
    <x v="1"/>
    <s v="yes"/>
  </r>
  <r>
    <x v="18"/>
    <s v="schizo"/>
    <x v="11"/>
    <n v="15.5"/>
    <x v="1"/>
    <s v="yes"/>
  </r>
  <r>
    <x v="19"/>
    <s v="dementia"/>
    <x v="0"/>
    <n v="23"/>
    <x v="1"/>
    <s v="yes"/>
  </r>
  <r>
    <x v="19"/>
    <s v="dementia"/>
    <x v="1"/>
    <n v="21.8"/>
    <x v="1"/>
    <s v="yes"/>
  </r>
  <r>
    <x v="19"/>
    <s v="dementia"/>
    <x v="2"/>
    <n v="20.6"/>
    <x v="1"/>
    <s v="yes"/>
  </r>
  <r>
    <x v="19"/>
    <s v="dementia"/>
    <x v="3"/>
    <n v="19.400000000000002"/>
    <x v="1"/>
    <s v="yes"/>
  </r>
  <r>
    <x v="19"/>
    <s v="dementia"/>
    <x v="4"/>
    <n v="18.200000000000003"/>
    <x v="1"/>
    <s v="yes"/>
  </r>
  <r>
    <x v="19"/>
    <s v="dementia"/>
    <x v="5"/>
    <n v="17.000000000000004"/>
    <x v="1"/>
    <s v="yes"/>
  </r>
  <r>
    <x v="19"/>
    <s v="dementia"/>
    <x v="6"/>
    <n v="15.800000000000004"/>
    <x v="1"/>
    <s v="yes"/>
  </r>
  <r>
    <x v="19"/>
    <s v="dementia"/>
    <x v="7"/>
    <n v="14.600000000000005"/>
    <x v="1"/>
    <s v="yes"/>
  </r>
  <r>
    <x v="19"/>
    <s v="dementia"/>
    <x v="8"/>
    <n v="13.400000000000006"/>
    <x v="1"/>
    <s v="yes"/>
  </r>
  <r>
    <x v="19"/>
    <s v="dementia"/>
    <x v="9"/>
    <n v="12.200000000000006"/>
    <x v="1"/>
    <s v="yes"/>
  </r>
  <r>
    <x v="19"/>
    <s v="dementia"/>
    <x v="10"/>
    <n v="11.000000000000007"/>
    <x v="1"/>
    <s v="yes"/>
  </r>
  <r>
    <x v="19"/>
    <s v="dementia"/>
    <x v="11"/>
    <n v="9.8000000000000078"/>
    <x v="1"/>
    <s v="yes"/>
  </r>
  <r>
    <x v="20"/>
    <s v="schizo"/>
    <x v="0"/>
    <n v="20"/>
    <x v="0"/>
    <s v="no"/>
  </r>
  <r>
    <x v="20"/>
    <s v="schizo"/>
    <x v="1"/>
    <n v="18.698970004336019"/>
    <x v="0"/>
    <s v="no"/>
  </r>
  <r>
    <x v="20"/>
    <s v="schizo"/>
    <x v="2"/>
    <n v="17.522878745280337"/>
    <x v="0"/>
    <s v="no"/>
  </r>
  <r>
    <x v="20"/>
    <s v="schizo"/>
    <x v="3"/>
    <n v="16.397940008672037"/>
    <x v="0"/>
    <s v="no"/>
  </r>
  <r>
    <x v="20"/>
    <s v="schizo"/>
    <x v="4"/>
    <n v="15.301029995663981"/>
    <x v="0"/>
    <s v="no"/>
  </r>
  <r>
    <x v="20"/>
    <s v="schizo"/>
    <x v="5"/>
    <n v="14.221848749616356"/>
    <x v="0"/>
    <s v="no"/>
  </r>
  <r>
    <x v="20"/>
    <s v="schizo"/>
    <x v="6"/>
    <n v="13.154901959985743"/>
    <x v="0"/>
    <s v="no"/>
  </r>
  <r>
    <x v="20"/>
    <s v="schizo"/>
    <x v="7"/>
    <n v="12.096910013008056"/>
    <x v="0"/>
    <s v="no"/>
  </r>
  <r>
    <x v="20"/>
    <s v="schizo"/>
    <x v="8"/>
    <n v="11.045757490560675"/>
    <x v="0"/>
    <s v="no"/>
  </r>
  <r>
    <x v="20"/>
    <s v="schizo"/>
    <x v="9"/>
    <n v="10"/>
    <x v="0"/>
    <s v="no"/>
  </r>
  <r>
    <x v="20"/>
    <s v="schizo"/>
    <x v="10"/>
    <n v="8.9586073148417746"/>
    <x v="0"/>
    <s v="no"/>
  </r>
  <r>
    <x v="20"/>
    <s v="schizo"/>
    <x v="11"/>
    <n v="7.9208187539523749"/>
    <x v="0"/>
    <s v="no"/>
  </r>
  <r>
    <x v="21"/>
    <s v="dementia"/>
    <x v="0"/>
    <n v="22"/>
    <x v="0"/>
    <s v="no"/>
  </r>
  <r>
    <x v="21"/>
    <s v="dementia"/>
    <x v="1"/>
    <n v="20.198970004336019"/>
    <x v="0"/>
    <s v="no"/>
  </r>
  <r>
    <x v="21"/>
    <s v="dementia"/>
    <x v="2"/>
    <n v="18.522878745280337"/>
    <x v="0"/>
    <s v="no"/>
  </r>
  <r>
    <x v="21"/>
    <s v="dementia"/>
    <x v="3"/>
    <n v="16.897940008672037"/>
    <x v="0"/>
    <s v="no"/>
  </r>
  <r>
    <x v="21"/>
    <s v="dementia"/>
    <x v="4"/>
    <n v="15.301029995663981"/>
    <x v="0"/>
    <s v="no"/>
  </r>
  <r>
    <x v="21"/>
    <s v="dementia"/>
    <x v="5"/>
    <n v="13.721848749616356"/>
    <x v="0"/>
    <s v="no"/>
  </r>
  <r>
    <x v="21"/>
    <s v="dementia"/>
    <x v="6"/>
    <n v="12.154901959985743"/>
    <x v="0"/>
    <s v="no"/>
  </r>
  <r>
    <x v="21"/>
    <s v="dementia"/>
    <x v="7"/>
    <n v="10.596910013008056"/>
    <x v="0"/>
    <s v="no"/>
  </r>
  <r>
    <x v="21"/>
    <s v="dementia"/>
    <x v="8"/>
    <n v="9.0457574905606748"/>
    <x v="0"/>
    <s v="no"/>
  </r>
  <r>
    <x v="21"/>
    <s v="dementia"/>
    <x v="9"/>
    <n v="7.5"/>
    <x v="0"/>
    <s v="no"/>
  </r>
  <r>
    <x v="21"/>
    <s v="dementia"/>
    <x v="10"/>
    <n v="5.9586073148417746"/>
    <x v="0"/>
    <s v="no"/>
  </r>
  <r>
    <x v="21"/>
    <s v="dementia"/>
    <x v="11"/>
    <n v="4.4208187539523749"/>
    <x v="0"/>
    <s v="no"/>
  </r>
  <r>
    <x v="22"/>
    <s v="schizo"/>
    <x v="0"/>
    <n v="21"/>
    <x v="1"/>
    <s v="no"/>
  </r>
  <r>
    <x v="22"/>
    <s v="schizo"/>
    <x v="1"/>
    <n v="20.198970004336019"/>
    <x v="1"/>
    <s v="no"/>
  </r>
  <r>
    <x v="22"/>
    <s v="schizo"/>
    <x v="2"/>
    <n v="19.522878745280337"/>
    <x v="1"/>
    <s v="no"/>
  </r>
  <r>
    <x v="22"/>
    <s v="schizo"/>
    <x v="3"/>
    <n v="18.897940008672037"/>
    <x v="1"/>
    <s v="no"/>
  </r>
  <r>
    <x v="22"/>
    <s v="schizo"/>
    <x v="4"/>
    <n v="18.301029995663981"/>
    <x v="1"/>
    <s v="no"/>
  </r>
  <r>
    <x v="22"/>
    <s v="schizo"/>
    <x v="5"/>
    <n v="17.721848749616356"/>
    <x v="1"/>
    <s v="no"/>
  </r>
  <r>
    <x v="22"/>
    <s v="schizo"/>
    <x v="6"/>
    <n v="17.154901959985743"/>
    <x v="1"/>
    <s v="no"/>
  </r>
  <r>
    <x v="22"/>
    <s v="schizo"/>
    <x v="7"/>
    <n v="16.596910013008056"/>
    <x v="1"/>
    <s v="no"/>
  </r>
  <r>
    <x v="22"/>
    <s v="schizo"/>
    <x v="8"/>
    <n v="16.045757490560675"/>
    <x v="1"/>
    <s v="no"/>
  </r>
  <r>
    <x v="22"/>
    <s v="schizo"/>
    <x v="9"/>
    <n v="15.5"/>
    <x v="1"/>
    <s v="no"/>
  </r>
  <r>
    <x v="22"/>
    <s v="schizo"/>
    <x v="10"/>
    <n v="14.958607314841775"/>
    <x v="1"/>
    <s v="no"/>
  </r>
  <r>
    <x v="22"/>
    <s v="schizo"/>
    <x v="11"/>
    <n v="14.420818753952375"/>
    <x v="1"/>
    <s v="no"/>
  </r>
  <r>
    <x v="23"/>
    <s v="dementia"/>
    <x v="0"/>
    <n v="23"/>
    <x v="1"/>
    <s v="no"/>
  </r>
  <r>
    <x v="23"/>
    <s v="dementia"/>
    <x v="1"/>
    <n v="21.498970004336019"/>
    <x v="1"/>
    <s v="no"/>
  </r>
  <r>
    <x v="23"/>
    <s v="dementia"/>
    <x v="2"/>
    <n v="20.122878745280339"/>
    <x v="1"/>
    <s v="no"/>
  </r>
  <r>
    <x v="23"/>
    <s v="dementia"/>
    <x v="3"/>
    <n v="18.79794000867204"/>
    <x v="1"/>
    <s v="no"/>
  </r>
  <r>
    <x v="23"/>
    <s v="dementia"/>
    <x v="4"/>
    <n v="17.501029995663984"/>
    <x v="1"/>
    <s v="no"/>
  </r>
  <r>
    <x v="23"/>
    <s v="dementia"/>
    <x v="5"/>
    <n v="16.22184874961636"/>
    <x v="1"/>
    <s v="no"/>
  </r>
  <r>
    <x v="23"/>
    <s v="dementia"/>
    <x v="6"/>
    <n v="14.954901959985747"/>
    <x v="1"/>
    <s v="no"/>
  </r>
  <r>
    <x v="23"/>
    <s v="dementia"/>
    <x v="7"/>
    <n v="13.696910013008061"/>
    <x v="1"/>
    <s v="no"/>
  </r>
  <r>
    <x v="23"/>
    <s v="dementia"/>
    <x v="8"/>
    <n v="12.44575749056068"/>
    <x v="1"/>
    <s v="no"/>
  </r>
  <r>
    <x v="23"/>
    <s v="dementia"/>
    <x v="9"/>
    <n v="11.200000000000006"/>
    <x v="1"/>
    <s v="no"/>
  </r>
  <r>
    <x v="23"/>
    <s v="dementia"/>
    <x v="10"/>
    <n v="9.9586073148417817"/>
    <x v="1"/>
    <s v="no"/>
  </r>
  <r>
    <x v="23"/>
    <s v="dementia"/>
    <x v="11"/>
    <n v="8.7208187539523827"/>
    <x v="1"/>
    <s v="no"/>
  </r>
  <r>
    <x v="24"/>
    <s v="schizo"/>
    <x v="0"/>
    <n v="18"/>
    <x v="0"/>
    <s v="yes"/>
  </r>
  <r>
    <x v="24"/>
    <s v="schizo"/>
    <x v="1"/>
    <n v="17"/>
    <x v="0"/>
    <s v="yes"/>
  </r>
  <r>
    <x v="24"/>
    <s v="schizo"/>
    <x v="2"/>
    <n v="16"/>
    <x v="0"/>
    <s v="yes"/>
  </r>
  <r>
    <x v="24"/>
    <s v="schizo"/>
    <x v="3"/>
    <n v="15"/>
    <x v="0"/>
    <s v="yes"/>
  </r>
  <r>
    <x v="24"/>
    <s v="schizo"/>
    <x v="4"/>
    <n v="14"/>
    <x v="0"/>
    <s v="yes"/>
  </r>
  <r>
    <x v="24"/>
    <s v="schizo"/>
    <x v="5"/>
    <n v="13"/>
    <x v="0"/>
    <s v="yes"/>
  </r>
  <r>
    <x v="24"/>
    <s v="schizo"/>
    <x v="6"/>
    <n v="12"/>
    <x v="0"/>
    <s v="yes"/>
  </r>
  <r>
    <x v="24"/>
    <s v="schizo"/>
    <x v="7"/>
    <n v="11"/>
    <x v="0"/>
    <s v="yes"/>
  </r>
  <r>
    <x v="24"/>
    <s v="schizo"/>
    <x v="8"/>
    <n v="10"/>
    <x v="0"/>
    <s v="yes"/>
  </r>
  <r>
    <x v="24"/>
    <s v="schizo"/>
    <x v="9"/>
    <n v="9"/>
    <x v="0"/>
    <s v="yes"/>
  </r>
  <r>
    <x v="24"/>
    <s v="schizo"/>
    <x v="10"/>
    <n v="8"/>
    <x v="0"/>
    <s v="yes"/>
  </r>
  <r>
    <x v="24"/>
    <s v="schizo"/>
    <x v="11"/>
    <n v="7"/>
    <x v="0"/>
    <s v="yes"/>
  </r>
  <r>
    <x v="25"/>
    <s v="dementia"/>
    <x v="0"/>
    <n v="20"/>
    <x v="0"/>
    <s v="yes"/>
  </r>
  <r>
    <x v="25"/>
    <s v="dementia"/>
    <x v="1"/>
    <n v="18.5"/>
    <x v="0"/>
    <s v="yes"/>
  </r>
  <r>
    <x v="25"/>
    <s v="dementia"/>
    <x v="2"/>
    <n v="17"/>
    <x v="0"/>
    <s v="yes"/>
  </r>
  <r>
    <x v="25"/>
    <s v="dementia"/>
    <x v="3"/>
    <n v="15.5"/>
    <x v="0"/>
    <s v="yes"/>
  </r>
  <r>
    <x v="25"/>
    <s v="dementia"/>
    <x v="4"/>
    <n v="14"/>
    <x v="0"/>
    <s v="yes"/>
  </r>
  <r>
    <x v="25"/>
    <s v="dementia"/>
    <x v="5"/>
    <n v="12.5"/>
    <x v="0"/>
    <s v="yes"/>
  </r>
  <r>
    <x v="25"/>
    <s v="dementia"/>
    <x v="6"/>
    <n v="11"/>
    <x v="0"/>
    <s v="yes"/>
  </r>
  <r>
    <x v="25"/>
    <s v="dementia"/>
    <x v="7"/>
    <n v="9.5"/>
    <x v="0"/>
    <s v="yes"/>
  </r>
  <r>
    <x v="25"/>
    <s v="dementia"/>
    <x v="8"/>
    <n v="8"/>
    <x v="0"/>
    <s v="yes"/>
  </r>
  <r>
    <x v="25"/>
    <s v="dementia"/>
    <x v="9"/>
    <n v="6.5"/>
    <x v="0"/>
    <s v="yes"/>
  </r>
  <r>
    <x v="25"/>
    <s v="dementia"/>
    <x v="10"/>
    <n v="5"/>
    <x v="0"/>
    <s v="yes"/>
  </r>
  <r>
    <x v="25"/>
    <s v="dementia"/>
    <x v="11"/>
    <n v="3.5"/>
    <x v="0"/>
    <s v="yes"/>
  </r>
  <r>
    <x v="26"/>
    <s v="schizo"/>
    <x v="0"/>
    <n v="19"/>
    <x v="1"/>
    <s v="yes"/>
  </r>
  <r>
    <x v="26"/>
    <s v="schizo"/>
    <x v="1"/>
    <n v="18.5"/>
    <x v="1"/>
    <s v="yes"/>
  </r>
  <r>
    <x v="26"/>
    <s v="schizo"/>
    <x v="2"/>
    <n v="18"/>
    <x v="1"/>
    <s v="yes"/>
  </r>
  <r>
    <x v="26"/>
    <s v="schizo"/>
    <x v="3"/>
    <n v="17.5"/>
    <x v="1"/>
    <s v="yes"/>
  </r>
  <r>
    <x v="26"/>
    <s v="schizo"/>
    <x v="4"/>
    <n v="17"/>
    <x v="1"/>
    <s v="yes"/>
  </r>
  <r>
    <x v="26"/>
    <s v="schizo"/>
    <x v="5"/>
    <n v="16.5"/>
    <x v="1"/>
    <s v="yes"/>
  </r>
  <r>
    <x v="26"/>
    <s v="schizo"/>
    <x v="6"/>
    <n v="16"/>
    <x v="1"/>
    <s v="yes"/>
  </r>
  <r>
    <x v="26"/>
    <s v="schizo"/>
    <x v="7"/>
    <n v="15.5"/>
    <x v="1"/>
    <s v="yes"/>
  </r>
  <r>
    <x v="26"/>
    <s v="schizo"/>
    <x v="8"/>
    <n v="15"/>
    <x v="1"/>
    <s v="yes"/>
  </r>
  <r>
    <x v="26"/>
    <s v="schizo"/>
    <x v="9"/>
    <n v="14.5"/>
    <x v="1"/>
    <s v="yes"/>
  </r>
  <r>
    <x v="26"/>
    <s v="schizo"/>
    <x v="10"/>
    <n v="14"/>
    <x v="1"/>
    <s v="yes"/>
  </r>
  <r>
    <x v="26"/>
    <s v="schizo"/>
    <x v="11"/>
    <n v="13.5"/>
    <x v="1"/>
    <s v="yes"/>
  </r>
  <r>
    <x v="27"/>
    <s v="dementia"/>
    <x v="0"/>
    <n v="21"/>
    <x v="1"/>
    <s v="yes"/>
  </r>
  <r>
    <x v="27"/>
    <s v="dementia"/>
    <x v="1"/>
    <n v="19.8"/>
    <x v="1"/>
    <s v="yes"/>
  </r>
  <r>
    <x v="27"/>
    <s v="dementia"/>
    <x v="2"/>
    <n v="18.600000000000001"/>
    <x v="1"/>
    <s v="yes"/>
  </r>
  <r>
    <x v="27"/>
    <s v="dementia"/>
    <x v="3"/>
    <n v="17.400000000000002"/>
    <x v="1"/>
    <s v="yes"/>
  </r>
  <r>
    <x v="27"/>
    <s v="dementia"/>
    <x v="4"/>
    <n v="16.200000000000003"/>
    <x v="1"/>
    <s v="yes"/>
  </r>
  <r>
    <x v="27"/>
    <s v="dementia"/>
    <x v="5"/>
    <n v="15.000000000000004"/>
    <x v="1"/>
    <s v="yes"/>
  </r>
  <r>
    <x v="27"/>
    <s v="dementia"/>
    <x v="6"/>
    <n v="13.800000000000004"/>
    <x v="1"/>
    <s v="yes"/>
  </r>
  <r>
    <x v="27"/>
    <s v="dementia"/>
    <x v="7"/>
    <n v="12.600000000000005"/>
    <x v="1"/>
    <s v="yes"/>
  </r>
  <r>
    <x v="27"/>
    <s v="dementia"/>
    <x v="8"/>
    <n v="11.400000000000006"/>
    <x v="1"/>
    <s v="yes"/>
  </r>
  <r>
    <x v="27"/>
    <s v="dementia"/>
    <x v="9"/>
    <n v="10.200000000000006"/>
    <x v="1"/>
    <s v="yes"/>
  </r>
  <r>
    <x v="27"/>
    <s v="dementia"/>
    <x v="10"/>
    <n v="9.0000000000000071"/>
    <x v="1"/>
    <s v="yes"/>
  </r>
  <r>
    <x v="27"/>
    <s v="dementia"/>
    <x v="11"/>
    <n v="7.8000000000000069"/>
    <x v="1"/>
    <s v="yes"/>
  </r>
  <r>
    <x v="28"/>
    <s v="schizo"/>
    <x v="0"/>
    <n v="18"/>
    <x v="0"/>
    <s v="no"/>
  </r>
  <r>
    <x v="28"/>
    <s v="schizo"/>
    <x v="1"/>
    <n v="16.698970004336019"/>
    <x v="0"/>
    <s v="no"/>
  </r>
  <r>
    <x v="28"/>
    <s v="schizo"/>
    <x v="2"/>
    <n v="15.522878745280337"/>
    <x v="0"/>
    <s v="no"/>
  </r>
  <r>
    <x v="28"/>
    <s v="schizo"/>
    <x v="3"/>
    <n v="14.397940008672037"/>
    <x v="0"/>
    <s v="no"/>
  </r>
  <r>
    <x v="28"/>
    <s v="schizo"/>
    <x v="4"/>
    <n v="13.301029995663981"/>
    <x v="0"/>
    <s v="no"/>
  </r>
  <r>
    <x v="28"/>
    <s v="schizo"/>
    <x v="5"/>
    <n v="12.221848749616356"/>
    <x v="0"/>
    <s v="no"/>
  </r>
  <r>
    <x v="28"/>
    <s v="schizo"/>
    <x v="6"/>
    <n v="11.154901959985743"/>
    <x v="0"/>
    <s v="no"/>
  </r>
  <r>
    <x v="28"/>
    <s v="schizo"/>
    <x v="7"/>
    <n v="10.096910013008056"/>
    <x v="0"/>
    <s v="no"/>
  </r>
  <r>
    <x v="28"/>
    <s v="schizo"/>
    <x v="8"/>
    <n v="9.0457574905606748"/>
    <x v="0"/>
    <s v="no"/>
  </r>
  <r>
    <x v="28"/>
    <s v="schizo"/>
    <x v="9"/>
    <n v="8"/>
    <x v="0"/>
    <s v="no"/>
  </r>
  <r>
    <x v="28"/>
    <s v="schizo"/>
    <x v="10"/>
    <n v="6.9586073148417746"/>
    <x v="0"/>
    <s v="no"/>
  </r>
  <r>
    <x v="28"/>
    <s v="schizo"/>
    <x v="11"/>
    <n v="5.9208187539523749"/>
    <x v="0"/>
    <s v="no"/>
  </r>
  <r>
    <x v="29"/>
    <s v="dementia"/>
    <x v="0"/>
    <n v="20"/>
    <x v="0"/>
    <s v="no"/>
  </r>
  <r>
    <x v="29"/>
    <s v="dementia"/>
    <x v="1"/>
    <n v="18.198970004336019"/>
    <x v="0"/>
    <s v="no"/>
  </r>
  <r>
    <x v="29"/>
    <s v="dementia"/>
    <x v="2"/>
    <n v="16.522878745280337"/>
    <x v="0"/>
    <s v="no"/>
  </r>
  <r>
    <x v="29"/>
    <s v="dementia"/>
    <x v="3"/>
    <n v="14.897940008672037"/>
    <x v="0"/>
    <s v="no"/>
  </r>
  <r>
    <x v="29"/>
    <s v="dementia"/>
    <x v="4"/>
    <n v="13.301029995663981"/>
    <x v="0"/>
    <s v="no"/>
  </r>
  <r>
    <x v="29"/>
    <s v="dementia"/>
    <x v="5"/>
    <n v="11.721848749616356"/>
    <x v="0"/>
    <s v="no"/>
  </r>
  <r>
    <x v="29"/>
    <s v="dementia"/>
    <x v="6"/>
    <n v="10.154901959985743"/>
    <x v="0"/>
    <s v="no"/>
  </r>
  <r>
    <x v="29"/>
    <s v="dementia"/>
    <x v="7"/>
    <n v="8.5969100130080562"/>
    <x v="0"/>
    <s v="no"/>
  </r>
  <r>
    <x v="29"/>
    <s v="dementia"/>
    <x v="8"/>
    <n v="7.0457574905606748"/>
    <x v="0"/>
    <s v="no"/>
  </r>
  <r>
    <x v="29"/>
    <s v="dementia"/>
    <x v="9"/>
    <n v="5.5"/>
    <x v="0"/>
    <s v="no"/>
  </r>
  <r>
    <x v="29"/>
    <s v="dementia"/>
    <x v="10"/>
    <n v="3.9586073148417746"/>
    <x v="0"/>
    <s v="no"/>
  </r>
  <r>
    <x v="29"/>
    <s v="dementia"/>
    <x v="11"/>
    <n v="2.4208187539523749"/>
    <x v="0"/>
    <s v="no"/>
  </r>
  <r>
    <x v="30"/>
    <s v="schizo"/>
    <x v="0"/>
    <n v="19"/>
    <x v="1"/>
    <s v="no"/>
  </r>
  <r>
    <x v="30"/>
    <s v="schizo"/>
    <x v="1"/>
    <n v="18.198970004336019"/>
    <x v="1"/>
    <s v="no"/>
  </r>
  <r>
    <x v="30"/>
    <s v="schizo"/>
    <x v="2"/>
    <n v="17.522878745280337"/>
    <x v="1"/>
    <s v="no"/>
  </r>
  <r>
    <x v="30"/>
    <s v="schizo"/>
    <x v="3"/>
    <n v="16.897940008672037"/>
    <x v="1"/>
    <s v="no"/>
  </r>
  <r>
    <x v="30"/>
    <s v="schizo"/>
    <x v="4"/>
    <n v="16.301029995663981"/>
    <x v="1"/>
    <s v="no"/>
  </r>
  <r>
    <x v="30"/>
    <s v="schizo"/>
    <x v="5"/>
    <n v="15.721848749616356"/>
    <x v="1"/>
    <s v="no"/>
  </r>
  <r>
    <x v="30"/>
    <s v="schizo"/>
    <x v="6"/>
    <n v="15.154901959985743"/>
    <x v="1"/>
    <s v="no"/>
  </r>
  <r>
    <x v="30"/>
    <s v="schizo"/>
    <x v="7"/>
    <n v="14.596910013008056"/>
    <x v="1"/>
    <s v="no"/>
  </r>
  <r>
    <x v="30"/>
    <s v="schizo"/>
    <x v="8"/>
    <n v="14.045757490560675"/>
    <x v="1"/>
    <s v="no"/>
  </r>
  <r>
    <x v="30"/>
    <s v="schizo"/>
    <x v="9"/>
    <n v="13.5"/>
    <x v="1"/>
    <s v="no"/>
  </r>
  <r>
    <x v="30"/>
    <s v="schizo"/>
    <x v="10"/>
    <n v="12.958607314841775"/>
    <x v="1"/>
    <s v="no"/>
  </r>
  <r>
    <x v="30"/>
    <s v="schizo"/>
    <x v="11"/>
    <n v="12.420818753952375"/>
    <x v="1"/>
    <s v="no"/>
  </r>
  <r>
    <x v="31"/>
    <s v="dementia"/>
    <x v="0"/>
    <n v="21"/>
    <x v="1"/>
    <s v="no"/>
  </r>
  <r>
    <x v="31"/>
    <s v="dementia"/>
    <x v="1"/>
    <n v="19.498970004336019"/>
    <x v="1"/>
    <s v="no"/>
  </r>
  <r>
    <x v="31"/>
    <s v="dementia"/>
    <x v="2"/>
    <n v="18.122878745280339"/>
    <x v="1"/>
    <s v="no"/>
  </r>
  <r>
    <x v="31"/>
    <s v="dementia"/>
    <x v="3"/>
    <n v="16.79794000867204"/>
    <x v="1"/>
    <s v="no"/>
  </r>
  <r>
    <x v="31"/>
    <s v="dementia"/>
    <x v="4"/>
    <n v="15.501029995663984"/>
    <x v="1"/>
    <s v="no"/>
  </r>
  <r>
    <x v="31"/>
    <s v="dementia"/>
    <x v="5"/>
    <n v="14.22184874961636"/>
    <x v="1"/>
    <s v="no"/>
  </r>
  <r>
    <x v="31"/>
    <s v="dementia"/>
    <x v="6"/>
    <n v="12.954901959985747"/>
    <x v="1"/>
    <s v="no"/>
  </r>
  <r>
    <x v="31"/>
    <s v="dementia"/>
    <x v="7"/>
    <n v="11.696910013008061"/>
    <x v="1"/>
    <s v="no"/>
  </r>
  <r>
    <x v="31"/>
    <s v="dementia"/>
    <x v="8"/>
    <n v="10.44575749056068"/>
    <x v="1"/>
    <s v="no"/>
  </r>
  <r>
    <x v="31"/>
    <s v="dementia"/>
    <x v="9"/>
    <n v="9.2000000000000064"/>
    <x v="1"/>
    <s v="no"/>
  </r>
  <r>
    <x v="31"/>
    <s v="dementia"/>
    <x v="10"/>
    <n v="7.9586073148417817"/>
    <x v="1"/>
    <s v="no"/>
  </r>
  <r>
    <x v="31"/>
    <s v="dementia"/>
    <x v="11"/>
    <n v="6.7208187539523818"/>
    <x v="1"/>
    <s v="no"/>
  </r>
  <r>
    <x v="32"/>
    <s v="schizo"/>
    <x v="0"/>
    <n v="16"/>
    <x v="0"/>
    <s v="yes"/>
  </r>
  <r>
    <x v="32"/>
    <s v="schizo"/>
    <x v="1"/>
    <n v="15"/>
    <x v="0"/>
    <s v="yes"/>
  </r>
  <r>
    <x v="32"/>
    <s v="schizo"/>
    <x v="2"/>
    <n v="14"/>
    <x v="0"/>
    <s v="yes"/>
  </r>
  <r>
    <x v="32"/>
    <s v="schizo"/>
    <x v="3"/>
    <n v="13"/>
    <x v="0"/>
    <s v="yes"/>
  </r>
  <r>
    <x v="32"/>
    <s v="schizo"/>
    <x v="4"/>
    <n v="12"/>
    <x v="0"/>
    <s v="yes"/>
  </r>
  <r>
    <x v="32"/>
    <s v="schizo"/>
    <x v="5"/>
    <n v="11"/>
    <x v="0"/>
    <s v="yes"/>
  </r>
  <r>
    <x v="32"/>
    <s v="schizo"/>
    <x v="6"/>
    <n v="10"/>
    <x v="0"/>
    <s v="yes"/>
  </r>
  <r>
    <x v="32"/>
    <s v="schizo"/>
    <x v="7"/>
    <n v="9"/>
    <x v="0"/>
    <s v="yes"/>
  </r>
  <r>
    <x v="32"/>
    <s v="schizo"/>
    <x v="8"/>
    <n v="8"/>
    <x v="0"/>
    <s v="yes"/>
  </r>
  <r>
    <x v="32"/>
    <s v="schizo"/>
    <x v="9"/>
    <n v="7"/>
    <x v="0"/>
    <s v="yes"/>
  </r>
  <r>
    <x v="32"/>
    <s v="schizo"/>
    <x v="10"/>
    <n v="6"/>
    <x v="0"/>
    <s v="yes"/>
  </r>
  <r>
    <x v="32"/>
    <s v="schizo"/>
    <x v="11"/>
    <n v="5"/>
    <x v="0"/>
    <s v="yes"/>
  </r>
  <r>
    <x v="33"/>
    <s v="dementia"/>
    <x v="0"/>
    <n v="18"/>
    <x v="0"/>
    <s v="yes"/>
  </r>
  <r>
    <x v="33"/>
    <s v="dementia"/>
    <x v="1"/>
    <n v="16.5"/>
    <x v="0"/>
    <s v="yes"/>
  </r>
  <r>
    <x v="33"/>
    <s v="dementia"/>
    <x v="2"/>
    <n v="15"/>
    <x v="0"/>
    <s v="yes"/>
  </r>
  <r>
    <x v="33"/>
    <s v="dementia"/>
    <x v="3"/>
    <n v="13.5"/>
    <x v="0"/>
    <s v="yes"/>
  </r>
  <r>
    <x v="33"/>
    <s v="dementia"/>
    <x v="4"/>
    <n v="12"/>
    <x v="0"/>
    <s v="yes"/>
  </r>
  <r>
    <x v="33"/>
    <s v="dementia"/>
    <x v="5"/>
    <n v="10.5"/>
    <x v="0"/>
    <s v="yes"/>
  </r>
  <r>
    <x v="33"/>
    <s v="dementia"/>
    <x v="6"/>
    <n v="9"/>
    <x v="0"/>
    <s v="yes"/>
  </r>
  <r>
    <x v="33"/>
    <s v="dementia"/>
    <x v="7"/>
    <n v="7.5"/>
    <x v="0"/>
    <s v="yes"/>
  </r>
  <r>
    <x v="33"/>
    <s v="dementia"/>
    <x v="8"/>
    <n v="6"/>
    <x v="0"/>
    <s v="yes"/>
  </r>
  <r>
    <x v="33"/>
    <s v="dementia"/>
    <x v="9"/>
    <n v="4.5"/>
    <x v="0"/>
    <s v="yes"/>
  </r>
  <r>
    <x v="33"/>
    <s v="dementia"/>
    <x v="10"/>
    <n v="3"/>
    <x v="0"/>
    <s v="yes"/>
  </r>
  <r>
    <x v="33"/>
    <s v="dementia"/>
    <x v="11"/>
    <n v="1.5"/>
    <x v="0"/>
    <s v="yes"/>
  </r>
  <r>
    <x v="34"/>
    <s v="schizo"/>
    <x v="0"/>
    <n v="17"/>
    <x v="1"/>
    <s v="yes"/>
  </r>
  <r>
    <x v="34"/>
    <s v="schizo"/>
    <x v="1"/>
    <n v="16.5"/>
    <x v="1"/>
    <s v="yes"/>
  </r>
  <r>
    <x v="34"/>
    <s v="schizo"/>
    <x v="2"/>
    <n v="16"/>
    <x v="1"/>
    <s v="yes"/>
  </r>
  <r>
    <x v="34"/>
    <s v="schizo"/>
    <x v="3"/>
    <n v="15.5"/>
    <x v="1"/>
    <s v="yes"/>
  </r>
  <r>
    <x v="34"/>
    <s v="schizo"/>
    <x v="4"/>
    <n v="15"/>
    <x v="1"/>
    <s v="yes"/>
  </r>
  <r>
    <x v="34"/>
    <s v="schizo"/>
    <x v="5"/>
    <n v="14.5"/>
    <x v="1"/>
    <s v="yes"/>
  </r>
  <r>
    <x v="34"/>
    <s v="schizo"/>
    <x v="6"/>
    <n v="14"/>
    <x v="1"/>
    <s v="yes"/>
  </r>
  <r>
    <x v="34"/>
    <s v="schizo"/>
    <x v="7"/>
    <n v="13.5"/>
    <x v="1"/>
    <s v="yes"/>
  </r>
  <r>
    <x v="34"/>
    <s v="schizo"/>
    <x v="8"/>
    <n v="13"/>
    <x v="1"/>
    <s v="yes"/>
  </r>
  <r>
    <x v="34"/>
    <s v="schizo"/>
    <x v="9"/>
    <n v="12.5"/>
    <x v="1"/>
    <s v="yes"/>
  </r>
  <r>
    <x v="34"/>
    <s v="schizo"/>
    <x v="10"/>
    <n v="12"/>
    <x v="1"/>
    <s v="yes"/>
  </r>
  <r>
    <x v="34"/>
    <s v="schizo"/>
    <x v="11"/>
    <n v="11.5"/>
    <x v="1"/>
    <s v="yes"/>
  </r>
  <r>
    <x v="35"/>
    <s v="dementia"/>
    <x v="0"/>
    <n v="19"/>
    <x v="1"/>
    <s v="yes"/>
  </r>
  <r>
    <x v="35"/>
    <s v="dementia"/>
    <x v="1"/>
    <n v="17.8"/>
    <x v="1"/>
    <s v="yes"/>
  </r>
  <r>
    <x v="35"/>
    <s v="dementia"/>
    <x v="2"/>
    <n v="16.600000000000001"/>
    <x v="1"/>
    <s v="yes"/>
  </r>
  <r>
    <x v="35"/>
    <s v="dementia"/>
    <x v="3"/>
    <n v="15.400000000000002"/>
    <x v="1"/>
    <s v="yes"/>
  </r>
  <r>
    <x v="35"/>
    <s v="dementia"/>
    <x v="4"/>
    <n v="14.200000000000003"/>
    <x v="1"/>
    <s v="yes"/>
  </r>
  <r>
    <x v="35"/>
    <s v="dementia"/>
    <x v="5"/>
    <n v="13.000000000000004"/>
    <x v="1"/>
    <s v="yes"/>
  </r>
  <r>
    <x v="35"/>
    <s v="dementia"/>
    <x v="6"/>
    <n v="11.800000000000004"/>
    <x v="1"/>
    <s v="yes"/>
  </r>
  <r>
    <x v="35"/>
    <s v="dementia"/>
    <x v="7"/>
    <n v="10.600000000000005"/>
    <x v="1"/>
    <s v="yes"/>
  </r>
  <r>
    <x v="35"/>
    <s v="dementia"/>
    <x v="8"/>
    <n v="9.4000000000000057"/>
    <x v="1"/>
    <s v="yes"/>
  </r>
  <r>
    <x v="35"/>
    <s v="dementia"/>
    <x v="9"/>
    <n v="8.2000000000000064"/>
    <x v="1"/>
    <s v="yes"/>
  </r>
  <r>
    <x v="35"/>
    <s v="dementia"/>
    <x v="10"/>
    <n v="7.0000000000000062"/>
    <x v="1"/>
    <s v="yes"/>
  </r>
  <r>
    <x v="35"/>
    <s v="dementia"/>
    <x v="11"/>
    <n v="5.800000000000006"/>
    <x v="1"/>
    <s v="yes"/>
  </r>
  <r>
    <x v="36"/>
    <s v="schizo"/>
    <x v="0"/>
    <n v="16"/>
    <x v="0"/>
    <s v="no"/>
  </r>
  <r>
    <x v="36"/>
    <s v="schizo"/>
    <x v="1"/>
    <n v="14.698970004336019"/>
    <x v="0"/>
    <s v="no"/>
  </r>
  <r>
    <x v="36"/>
    <s v="schizo"/>
    <x v="2"/>
    <n v="13.522878745280337"/>
    <x v="0"/>
    <s v="no"/>
  </r>
  <r>
    <x v="36"/>
    <s v="schizo"/>
    <x v="3"/>
    <n v="12.397940008672037"/>
    <x v="0"/>
    <s v="no"/>
  </r>
  <r>
    <x v="36"/>
    <s v="schizo"/>
    <x v="4"/>
    <n v="11.301029995663981"/>
    <x v="0"/>
    <s v="no"/>
  </r>
  <r>
    <x v="36"/>
    <s v="schizo"/>
    <x v="5"/>
    <n v="10.221848749616356"/>
    <x v="0"/>
    <s v="no"/>
  </r>
  <r>
    <x v="36"/>
    <s v="schizo"/>
    <x v="6"/>
    <n v="9.1549019599857431"/>
    <x v="0"/>
    <s v="no"/>
  </r>
  <r>
    <x v="36"/>
    <s v="schizo"/>
    <x v="7"/>
    <n v="8.0969100130080562"/>
    <x v="0"/>
    <s v="no"/>
  </r>
  <r>
    <x v="36"/>
    <s v="schizo"/>
    <x v="8"/>
    <n v="7.0457574905606748"/>
    <x v="0"/>
    <s v="no"/>
  </r>
  <r>
    <x v="36"/>
    <s v="schizo"/>
    <x v="9"/>
    <n v="6"/>
    <x v="0"/>
    <s v="no"/>
  </r>
  <r>
    <x v="36"/>
    <s v="schizo"/>
    <x v="10"/>
    <n v="4.9586073148417746"/>
    <x v="0"/>
    <s v="no"/>
  </r>
  <r>
    <x v="36"/>
    <s v="schizo"/>
    <x v="11"/>
    <n v="3.9208187539523749"/>
    <x v="0"/>
    <s v="no"/>
  </r>
  <r>
    <x v="37"/>
    <s v="dementia"/>
    <x v="0"/>
    <n v="18"/>
    <x v="0"/>
    <s v="no"/>
  </r>
  <r>
    <x v="37"/>
    <s v="dementia"/>
    <x v="1"/>
    <n v="16.198970004336019"/>
    <x v="0"/>
    <s v="no"/>
  </r>
  <r>
    <x v="37"/>
    <s v="dementia"/>
    <x v="2"/>
    <n v="14.522878745280337"/>
    <x v="0"/>
    <s v="no"/>
  </r>
  <r>
    <x v="37"/>
    <s v="dementia"/>
    <x v="3"/>
    <n v="12.897940008672037"/>
    <x v="0"/>
    <s v="no"/>
  </r>
  <r>
    <x v="37"/>
    <s v="dementia"/>
    <x v="4"/>
    <n v="11.301029995663981"/>
    <x v="0"/>
    <s v="no"/>
  </r>
  <r>
    <x v="37"/>
    <s v="dementia"/>
    <x v="5"/>
    <n v="9.7218487496163561"/>
    <x v="0"/>
    <s v="no"/>
  </r>
  <r>
    <x v="37"/>
    <s v="dementia"/>
    <x v="6"/>
    <n v="8.1549019599857431"/>
    <x v="0"/>
    <s v="no"/>
  </r>
  <r>
    <x v="37"/>
    <s v="dementia"/>
    <x v="7"/>
    <n v="6.5969100130080562"/>
    <x v="0"/>
    <s v="no"/>
  </r>
  <r>
    <x v="37"/>
    <s v="dementia"/>
    <x v="8"/>
    <n v="5.0457574905606748"/>
    <x v="0"/>
    <s v="no"/>
  </r>
  <r>
    <x v="37"/>
    <s v="dementia"/>
    <x v="9"/>
    <n v="3.5"/>
    <x v="0"/>
    <s v="no"/>
  </r>
  <r>
    <x v="37"/>
    <s v="dementia"/>
    <x v="10"/>
    <n v="1.9586073148417749"/>
    <x v="0"/>
    <s v="no"/>
  </r>
  <r>
    <x v="37"/>
    <s v="dementia"/>
    <x v="11"/>
    <n v="0.42081875395237511"/>
    <x v="0"/>
    <s v="no"/>
  </r>
  <r>
    <x v="38"/>
    <s v="schizo"/>
    <x v="0"/>
    <n v="17"/>
    <x v="1"/>
    <s v="no"/>
  </r>
  <r>
    <x v="38"/>
    <s v="schizo"/>
    <x v="1"/>
    <n v="16.198970004336019"/>
    <x v="1"/>
    <s v="no"/>
  </r>
  <r>
    <x v="38"/>
    <s v="schizo"/>
    <x v="2"/>
    <n v="15.522878745280337"/>
    <x v="1"/>
    <s v="no"/>
  </r>
  <r>
    <x v="38"/>
    <s v="schizo"/>
    <x v="3"/>
    <n v="14.897940008672037"/>
    <x v="1"/>
    <s v="no"/>
  </r>
  <r>
    <x v="38"/>
    <s v="schizo"/>
    <x v="4"/>
    <n v="14.301029995663981"/>
    <x v="1"/>
    <s v="no"/>
  </r>
  <r>
    <x v="38"/>
    <s v="schizo"/>
    <x v="5"/>
    <n v="13.721848749616356"/>
    <x v="1"/>
    <s v="no"/>
  </r>
  <r>
    <x v="38"/>
    <s v="schizo"/>
    <x v="6"/>
    <n v="13.154901959985743"/>
    <x v="1"/>
    <s v="no"/>
  </r>
  <r>
    <x v="38"/>
    <s v="schizo"/>
    <x v="7"/>
    <n v="12.596910013008056"/>
    <x v="1"/>
    <s v="no"/>
  </r>
  <r>
    <x v="38"/>
    <s v="schizo"/>
    <x v="8"/>
    <n v="12.045757490560675"/>
    <x v="1"/>
    <s v="no"/>
  </r>
  <r>
    <x v="38"/>
    <s v="schizo"/>
    <x v="9"/>
    <n v="11.5"/>
    <x v="1"/>
    <s v="no"/>
  </r>
  <r>
    <x v="38"/>
    <s v="schizo"/>
    <x v="10"/>
    <n v="10.958607314841775"/>
    <x v="1"/>
    <s v="no"/>
  </r>
  <r>
    <x v="38"/>
    <s v="schizo"/>
    <x v="11"/>
    <n v="10.420818753952375"/>
    <x v="1"/>
    <s v="no"/>
  </r>
  <r>
    <x v="39"/>
    <s v="dementia"/>
    <x v="0"/>
    <n v="19"/>
    <x v="1"/>
    <s v="no"/>
  </r>
  <r>
    <x v="39"/>
    <s v="dementia"/>
    <x v="1"/>
    <n v="17.498970004336019"/>
    <x v="1"/>
    <s v="no"/>
  </r>
  <r>
    <x v="39"/>
    <s v="dementia"/>
    <x v="2"/>
    <n v="16.122878745280339"/>
    <x v="1"/>
    <s v="no"/>
  </r>
  <r>
    <x v="39"/>
    <s v="dementia"/>
    <x v="3"/>
    <n v="14.79794000867204"/>
    <x v="1"/>
    <s v="no"/>
  </r>
  <r>
    <x v="39"/>
    <s v="dementia"/>
    <x v="4"/>
    <n v="13.501029995663984"/>
    <x v="1"/>
    <s v="no"/>
  </r>
  <r>
    <x v="39"/>
    <s v="dementia"/>
    <x v="5"/>
    <n v="12.22184874961636"/>
    <x v="1"/>
    <s v="no"/>
  </r>
  <r>
    <x v="39"/>
    <s v="dementia"/>
    <x v="6"/>
    <n v="10.954901959985747"/>
    <x v="1"/>
    <s v="no"/>
  </r>
  <r>
    <x v="39"/>
    <s v="dementia"/>
    <x v="7"/>
    <n v="9.6969100130080612"/>
    <x v="1"/>
    <s v="no"/>
  </r>
  <r>
    <x v="39"/>
    <s v="dementia"/>
    <x v="8"/>
    <n v="8.4457574905606805"/>
    <x v="1"/>
    <s v="no"/>
  </r>
  <r>
    <x v="39"/>
    <s v="dementia"/>
    <x v="9"/>
    <n v="7.2000000000000064"/>
    <x v="1"/>
    <s v="no"/>
  </r>
  <r>
    <x v="39"/>
    <s v="dementia"/>
    <x v="10"/>
    <n v="5.9586073148417809"/>
    <x v="1"/>
    <s v="no"/>
  </r>
  <r>
    <x v="39"/>
    <s v="dementia"/>
    <x v="11"/>
    <n v="4.7208187539523809"/>
    <x v="1"/>
    <s v="no"/>
  </r>
  <r>
    <x v="40"/>
    <s v="schizo"/>
    <x v="0"/>
    <n v="23"/>
    <x v="0"/>
    <s v="yes"/>
  </r>
  <r>
    <x v="40"/>
    <s v="schizo"/>
    <x v="1"/>
    <n v="22"/>
    <x v="0"/>
    <s v="yes"/>
  </r>
  <r>
    <x v="40"/>
    <s v="schizo"/>
    <x v="2"/>
    <n v="21"/>
    <x v="0"/>
    <s v="yes"/>
  </r>
  <r>
    <x v="40"/>
    <s v="schizo"/>
    <x v="3"/>
    <n v="20"/>
    <x v="0"/>
    <s v="yes"/>
  </r>
  <r>
    <x v="40"/>
    <s v="schizo"/>
    <x v="4"/>
    <n v="19"/>
    <x v="0"/>
    <s v="yes"/>
  </r>
  <r>
    <x v="40"/>
    <s v="schizo"/>
    <x v="5"/>
    <n v="18"/>
    <x v="0"/>
    <s v="yes"/>
  </r>
  <r>
    <x v="40"/>
    <s v="schizo"/>
    <x v="6"/>
    <n v="17"/>
    <x v="0"/>
    <s v="yes"/>
  </r>
  <r>
    <x v="40"/>
    <s v="schizo"/>
    <x v="7"/>
    <n v="16"/>
    <x v="0"/>
    <s v="yes"/>
  </r>
  <r>
    <x v="40"/>
    <s v="schizo"/>
    <x v="8"/>
    <n v="15"/>
    <x v="0"/>
    <s v="yes"/>
  </r>
  <r>
    <x v="40"/>
    <s v="schizo"/>
    <x v="9"/>
    <n v="14"/>
    <x v="0"/>
    <s v="yes"/>
  </r>
  <r>
    <x v="40"/>
    <s v="schizo"/>
    <x v="10"/>
    <n v="13"/>
    <x v="0"/>
    <s v="yes"/>
  </r>
  <r>
    <x v="40"/>
    <s v="schizo"/>
    <x v="11"/>
    <n v="12"/>
    <x v="0"/>
    <s v="yes"/>
  </r>
  <r>
    <x v="41"/>
    <s v="dementia"/>
    <x v="0"/>
    <n v="25"/>
    <x v="0"/>
    <s v="yes"/>
  </r>
  <r>
    <x v="41"/>
    <s v="dementia"/>
    <x v="1"/>
    <n v="23.5"/>
    <x v="0"/>
    <s v="yes"/>
  </r>
  <r>
    <x v="41"/>
    <s v="dementia"/>
    <x v="2"/>
    <n v="22"/>
    <x v="0"/>
    <s v="yes"/>
  </r>
  <r>
    <x v="41"/>
    <s v="dementia"/>
    <x v="3"/>
    <n v="20.5"/>
    <x v="0"/>
    <s v="yes"/>
  </r>
  <r>
    <x v="41"/>
    <s v="dementia"/>
    <x v="4"/>
    <n v="19"/>
    <x v="0"/>
    <s v="yes"/>
  </r>
  <r>
    <x v="41"/>
    <s v="dementia"/>
    <x v="5"/>
    <n v="17.5"/>
    <x v="0"/>
    <s v="yes"/>
  </r>
  <r>
    <x v="41"/>
    <s v="dementia"/>
    <x v="6"/>
    <n v="16"/>
    <x v="0"/>
    <s v="yes"/>
  </r>
  <r>
    <x v="41"/>
    <s v="dementia"/>
    <x v="7"/>
    <n v="14.5"/>
    <x v="0"/>
    <s v="yes"/>
  </r>
  <r>
    <x v="41"/>
    <s v="dementia"/>
    <x v="8"/>
    <n v="13"/>
    <x v="0"/>
    <s v="yes"/>
  </r>
  <r>
    <x v="41"/>
    <s v="dementia"/>
    <x v="9"/>
    <n v="11.5"/>
    <x v="0"/>
    <s v="yes"/>
  </r>
  <r>
    <x v="41"/>
    <s v="dementia"/>
    <x v="10"/>
    <n v="10"/>
    <x v="0"/>
    <s v="yes"/>
  </r>
  <r>
    <x v="41"/>
    <s v="dementia"/>
    <x v="11"/>
    <n v="8.5"/>
    <x v="0"/>
    <s v="yes"/>
  </r>
  <r>
    <x v="42"/>
    <s v="schizo"/>
    <x v="0"/>
    <n v="24"/>
    <x v="1"/>
    <s v="yes"/>
  </r>
  <r>
    <x v="42"/>
    <s v="schizo"/>
    <x v="1"/>
    <n v="23.5"/>
    <x v="1"/>
    <s v="yes"/>
  </r>
  <r>
    <x v="42"/>
    <s v="schizo"/>
    <x v="2"/>
    <n v="23"/>
    <x v="1"/>
    <s v="yes"/>
  </r>
  <r>
    <x v="42"/>
    <s v="schizo"/>
    <x v="3"/>
    <n v="22.5"/>
    <x v="1"/>
    <s v="yes"/>
  </r>
  <r>
    <x v="42"/>
    <s v="schizo"/>
    <x v="4"/>
    <n v="22"/>
    <x v="1"/>
    <s v="yes"/>
  </r>
  <r>
    <x v="42"/>
    <s v="schizo"/>
    <x v="5"/>
    <n v="21.5"/>
    <x v="1"/>
    <s v="yes"/>
  </r>
  <r>
    <x v="42"/>
    <s v="schizo"/>
    <x v="6"/>
    <n v="21"/>
    <x v="1"/>
    <s v="yes"/>
  </r>
  <r>
    <x v="42"/>
    <s v="schizo"/>
    <x v="7"/>
    <n v="20.5"/>
    <x v="1"/>
    <s v="yes"/>
  </r>
  <r>
    <x v="42"/>
    <s v="schizo"/>
    <x v="8"/>
    <n v="20"/>
    <x v="1"/>
    <s v="yes"/>
  </r>
  <r>
    <x v="42"/>
    <s v="schizo"/>
    <x v="9"/>
    <n v="19.5"/>
    <x v="1"/>
    <s v="yes"/>
  </r>
  <r>
    <x v="42"/>
    <s v="schizo"/>
    <x v="10"/>
    <n v="19"/>
    <x v="1"/>
    <s v="yes"/>
  </r>
  <r>
    <x v="42"/>
    <s v="schizo"/>
    <x v="11"/>
    <n v="18.5"/>
    <x v="1"/>
    <s v="yes"/>
  </r>
  <r>
    <x v="43"/>
    <s v="dementia"/>
    <x v="0"/>
    <n v="26"/>
    <x v="1"/>
    <s v="yes"/>
  </r>
  <r>
    <x v="43"/>
    <s v="dementia"/>
    <x v="1"/>
    <n v="24.8"/>
    <x v="1"/>
    <s v="yes"/>
  </r>
  <r>
    <x v="43"/>
    <s v="dementia"/>
    <x v="2"/>
    <n v="23.6"/>
    <x v="1"/>
    <s v="yes"/>
  </r>
  <r>
    <x v="43"/>
    <s v="dementia"/>
    <x v="3"/>
    <n v="22.400000000000002"/>
    <x v="1"/>
    <s v="yes"/>
  </r>
  <r>
    <x v="43"/>
    <s v="dementia"/>
    <x v="4"/>
    <n v="21.200000000000003"/>
    <x v="1"/>
    <s v="yes"/>
  </r>
  <r>
    <x v="43"/>
    <s v="dementia"/>
    <x v="5"/>
    <n v="20.000000000000004"/>
    <x v="1"/>
    <s v="yes"/>
  </r>
  <r>
    <x v="43"/>
    <s v="dementia"/>
    <x v="6"/>
    <n v="18.800000000000004"/>
    <x v="1"/>
    <s v="yes"/>
  </r>
  <r>
    <x v="43"/>
    <s v="dementia"/>
    <x v="7"/>
    <n v="17.600000000000005"/>
    <x v="1"/>
    <s v="yes"/>
  </r>
  <r>
    <x v="43"/>
    <s v="dementia"/>
    <x v="8"/>
    <n v="16.400000000000006"/>
    <x v="1"/>
    <s v="yes"/>
  </r>
  <r>
    <x v="43"/>
    <s v="dementia"/>
    <x v="9"/>
    <n v="15.200000000000006"/>
    <x v="1"/>
    <s v="yes"/>
  </r>
  <r>
    <x v="43"/>
    <s v="dementia"/>
    <x v="10"/>
    <n v="14.000000000000007"/>
    <x v="1"/>
    <s v="yes"/>
  </r>
  <r>
    <x v="43"/>
    <s v="dementia"/>
    <x v="11"/>
    <n v="12.800000000000008"/>
    <x v="1"/>
    <s v="yes"/>
  </r>
  <r>
    <x v="44"/>
    <s v="schizo"/>
    <x v="0"/>
    <n v="23"/>
    <x v="0"/>
    <s v="no"/>
  </r>
  <r>
    <x v="44"/>
    <s v="schizo"/>
    <x v="1"/>
    <n v="21.698970004336019"/>
    <x v="0"/>
    <s v="no"/>
  </r>
  <r>
    <x v="44"/>
    <s v="schizo"/>
    <x v="2"/>
    <n v="20.522878745280337"/>
    <x v="0"/>
    <s v="no"/>
  </r>
  <r>
    <x v="44"/>
    <s v="schizo"/>
    <x v="3"/>
    <n v="19.397940008672037"/>
    <x v="0"/>
    <s v="no"/>
  </r>
  <r>
    <x v="44"/>
    <s v="schizo"/>
    <x v="4"/>
    <n v="18.301029995663981"/>
    <x v="0"/>
    <s v="no"/>
  </r>
  <r>
    <x v="44"/>
    <s v="schizo"/>
    <x v="5"/>
    <n v="17.221848749616356"/>
    <x v="0"/>
    <s v="no"/>
  </r>
  <r>
    <x v="44"/>
    <s v="schizo"/>
    <x v="6"/>
    <n v="16.154901959985743"/>
    <x v="0"/>
    <s v="no"/>
  </r>
  <r>
    <x v="44"/>
    <s v="schizo"/>
    <x v="7"/>
    <n v="15.096910013008056"/>
    <x v="0"/>
    <s v="no"/>
  </r>
  <r>
    <x v="44"/>
    <s v="schizo"/>
    <x v="8"/>
    <n v="14.045757490560675"/>
    <x v="0"/>
    <s v="no"/>
  </r>
  <r>
    <x v="44"/>
    <s v="schizo"/>
    <x v="9"/>
    <n v="13"/>
    <x v="0"/>
    <s v="no"/>
  </r>
  <r>
    <x v="44"/>
    <s v="schizo"/>
    <x v="10"/>
    <n v="11.958607314841775"/>
    <x v="0"/>
    <s v="no"/>
  </r>
  <r>
    <x v="44"/>
    <s v="schizo"/>
    <x v="11"/>
    <n v="10.920818753952375"/>
    <x v="0"/>
    <s v="no"/>
  </r>
  <r>
    <x v="45"/>
    <s v="dementia"/>
    <x v="0"/>
    <n v="25"/>
    <x v="0"/>
    <s v="no"/>
  </r>
  <r>
    <x v="45"/>
    <s v="dementia"/>
    <x v="1"/>
    <n v="23.198970004336019"/>
    <x v="0"/>
    <s v="no"/>
  </r>
  <r>
    <x v="45"/>
    <s v="dementia"/>
    <x v="2"/>
    <n v="21.522878745280337"/>
    <x v="0"/>
    <s v="no"/>
  </r>
  <r>
    <x v="45"/>
    <s v="dementia"/>
    <x v="3"/>
    <n v="19.897940008672037"/>
    <x v="0"/>
    <s v="no"/>
  </r>
  <r>
    <x v="45"/>
    <s v="dementia"/>
    <x v="4"/>
    <n v="18.301029995663981"/>
    <x v="0"/>
    <s v="no"/>
  </r>
  <r>
    <x v="45"/>
    <s v="dementia"/>
    <x v="5"/>
    <n v="16.721848749616356"/>
    <x v="0"/>
    <s v="no"/>
  </r>
  <r>
    <x v="45"/>
    <s v="dementia"/>
    <x v="6"/>
    <n v="15.154901959985743"/>
    <x v="0"/>
    <s v="no"/>
  </r>
  <r>
    <x v="45"/>
    <s v="dementia"/>
    <x v="7"/>
    <n v="13.596910013008056"/>
    <x v="0"/>
    <s v="no"/>
  </r>
  <r>
    <x v="45"/>
    <s v="dementia"/>
    <x v="8"/>
    <n v="12.045757490560675"/>
    <x v="0"/>
    <s v="no"/>
  </r>
  <r>
    <x v="45"/>
    <s v="dementia"/>
    <x v="9"/>
    <n v="10.5"/>
    <x v="0"/>
    <s v="no"/>
  </r>
  <r>
    <x v="45"/>
    <s v="dementia"/>
    <x v="10"/>
    <n v="8.9586073148417746"/>
    <x v="0"/>
    <s v="no"/>
  </r>
  <r>
    <x v="45"/>
    <s v="dementia"/>
    <x v="11"/>
    <n v="7.4208187539523749"/>
    <x v="0"/>
    <s v="no"/>
  </r>
  <r>
    <x v="46"/>
    <s v="schizo"/>
    <x v="0"/>
    <n v="24"/>
    <x v="1"/>
    <s v="no"/>
  </r>
  <r>
    <x v="46"/>
    <s v="schizo"/>
    <x v="1"/>
    <n v="23.198970004336019"/>
    <x v="1"/>
    <s v="no"/>
  </r>
  <r>
    <x v="46"/>
    <s v="schizo"/>
    <x v="2"/>
    <n v="22.522878745280337"/>
    <x v="1"/>
    <s v="no"/>
  </r>
  <r>
    <x v="46"/>
    <s v="schizo"/>
    <x v="3"/>
    <n v="21.897940008672037"/>
    <x v="1"/>
    <s v="no"/>
  </r>
  <r>
    <x v="46"/>
    <s v="schizo"/>
    <x v="4"/>
    <n v="21.301029995663981"/>
    <x v="1"/>
    <s v="no"/>
  </r>
  <r>
    <x v="46"/>
    <s v="schizo"/>
    <x v="5"/>
    <n v="20.721848749616356"/>
    <x v="1"/>
    <s v="no"/>
  </r>
  <r>
    <x v="46"/>
    <s v="schizo"/>
    <x v="6"/>
    <n v="20.154901959985743"/>
    <x v="1"/>
    <s v="no"/>
  </r>
  <r>
    <x v="46"/>
    <s v="schizo"/>
    <x v="7"/>
    <n v="19.596910013008056"/>
    <x v="1"/>
    <s v="no"/>
  </r>
  <r>
    <x v="46"/>
    <s v="schizo"/>
    <x v="8"/>
    <n v="19.045757490560675"/>
    <x v="1"/>
    <s v="no"/>
  </r>
  <r>
    <x v="46"/>
    <s v="schizo"/>
    <x v="9"/>
    <n v="18.5"/>
    <x v="1"/>
    <s v="no"/>
  </r>
  <r>
    <x v="46"/>
    <s v="schizo"/>
    <x v="10"/>
    <n v="17.958607314841775"/>
    <x v="1"/>
    <s v="no"/>
  </r>
  <r>
    <x v="46"/>
    <s v="schizo"/>
    <x v="11"/>
    <n v="17.420818753952375"/>
    <x v="1"/>
    <s v="no"/>
  </r>
  <r>
    <x v="47"/>
    <s v="dementia"/>
    <x v="0"/>
    <n v="26"/>
    <x v="1"/>
    <s v="no"/>
  </r>
  <r>
    <x v="47"/>
    <s v="dementia"/>
    <x v="1"/>
    <n v="24.498970004336019"/>
    <x v="1"/>
    <s v="no"/>
  </r>
  <r>
    <x v="47"/>
    <s v="dementia"/>
    <x v="2"/>
    <n v="23.122878745280339"/>
    <x v="1"/>
    <s v="no"/>
  </r>
  <r>
    <x v="47"/>
    <s v="dementia"/>
    <x v="3"/>
    <n v="21.79794000867204"/>
    <x v="1"/>
    <s v="no"/>
  </r>
  <r>
    <x v="47"/>
    <s v="dementia"/>
    <x v="4"/>
    <n v="20.501029995663984"/>
    <x v="1"/>
    <s v="no"/>
  </r>
  <r>
    <x v="47"/>
    <s v="dementia"/>
    <x v="5"/>
    <n v="19.22184874961636"/>
    <x v="1"/>
    <s v="no"/>
  </r>
  <r>
    <x v="47"/>
    <s v="dementia"/>
    <x v="6"/>
    <n v="17.954901959985747"/>
    <x v="1"/>
    <s v="no"/>
  </r>
  <r>
    <x v="47"/>
    <s v="dementia"/>
    <x v="7"/>
    <n v="16.696910013008061"/>
    <x v="1"/>
    <s v="no"/>
  </r>
  <r>
    <x v="47"/>
    <s v="dementia"/>
    <x v="8"/>
    <n v="15.44575749056068"/>
    <x v="1"/>
    <s v="no"/>
  </r>
  <r>
    <x v="47"/>
    <s v="dementia"/>
    <x v="9"/>
    <n v="14.200000000000006"/>
    <x v="1"/>
    <s v="no"/>
  </r>
  <r>
    <x v="47"/>
    <s v="dementia"/>
    <x v="10"/>
    <n v="12.958607314841782"/>
    <x v="1"/>
    <s v="no"/>
  </r>
  <r>
    <x v="47"/>
    <s v="dementia"/>
    <x v="11"/>
    <n v="11.720818753952383"/>
    <x v="1"/>
    <s v="no"/>
  </r>
  <r>
    <x v="48"/>
    <s v="schizo"/>
    <x v="0"/>
    <n v="21"/>
    <x v="0"/>
    <s v="yes"/>
  </r>
  <r>
    <x v="48"/>
    <s v="schizo"/>
    <x v="1"/>
    <n v="20"/>
    <x v="0"/>
    <s v="yes"/>
  </r>
  <r>
    <x v="48"/>
    <s v="schizo"/>
    <x v="2"/>
    <n v="19"/>
    <x v="0"/>
    <s v="yes"/>
  </r>
  <r>
    <x v="48"/>
    <s v="schizo"/>
    <x v="3"/>
    <n v="18"/>
    <x v="0"/>
    <s v="yes"/>
  </r>
  <r>
    <x v="48"/>
    <s v="schizo"/>
    <x v="4"/>
    <n v="17"/>
    <x v="0"/>
    <s v="yes"/>
  </r>
  <r>
    <x v="48"/>
    <s v="schizo"/>
    <x v="5"/>
    <n v="16"/>
    <x v="0"/>
    <s v="yes"/>
  </r>
  <r>
    <x v="48"/>
    <s v="schizo"/>
    <x v="6"/>
    <n v="15"/>
    <x v="0"/>
    <s v="yes"/>
  </r>
  <r>
    <x v="48"/>
    <s v="schizo"/>
    <x v="7"/>
    <n v="14"/>
    <x v="0"/>
    <s v="yes"/>
  </r>
  <r>
    <x v="48"/>
    <s v="schizo"/>
    <x v="8"/>
    <n v="13"/>
    <x v="0"/>
    <s v="yes"/>
  </r>
  <r>
    <x v="48"/>
    <s v="schizo"/>
    <x v="9"/>
    <n v="12"/>
    <x v="0"/>
    <s v="yes"/>
  </r>
  <r>
    <x v="48"/>
    <s v="schizo"/>
    <x v="10"/>
    <n v="11"/>
    <x v="0"/>
    <s v="yes"/>
  </r>
  <r>
    <x v="48"/>
    <s v="schizo"/>
    <x v="11"/>
    <n v="10"/>
    <x v="0"/>
    <s v="yes"/>
  </r>
  <r>
    <x v="49"/>
    <s v="dementia"/>
    <x v="0"/>
    <n v="23"/>
    <x v="0"/>
    <s v="yes"/>
  </r>
  <r>
    <x v="49"/>
    <s v="dementia"/>
    <x v="1"/>
    <n v="21.5"/>
    <x v="0"/>
    <s v="yes"/>
  </r>
  <r>
    <x v="49"/>
    <s v="dementia"/>
    <x v="2"/>
    <n v="20"/>
    <x v="0"/>
    <s v="yes"/>
  </r>
  <r>
    <x v="49"/>
    <s v="dementia"/>
    <x v="3"/>
    <n v="18.5"/>
    <x v="0"/>
    <s v="yes"/>
  </r>
  <r>
    <x v="49"/>
    <s v="dementia"/>
    <x v="4"/>
    <n v="17"/>
    <x v="0"/>
    <s v="yes"/>
  </r>
  <r>
    <x v="49"/>
    <s v="dementia"/>
    <x v="5"/>
    <n v="15.5"/>
    <x v="0"/>
    <s v="yes"/>
  </r>
  <r>
    <x v="49"/>
    <s v="dementia"/>
    <x v="6"/>
    <n v="14"/>
    <x v="0"/>
    <s v="yes"/>
  </r>
  <r>
    <x v="49"/>
    <s v="dementia"/>
    <x v="7"/>
    <n v="12.5"/>
    <x v="0"/>
    <s v="yes"/>
  </r>
  <r>
    <x v="49"/>
    <s v="dementia"/>
    <x v="8"/>
    <n v="11"/>
    <x v="0"/>
    <s v="yes"/>
  </r>
  <r>
    <x v="49"/>
    <s v="dementia"/>
    <x v="9"/>
    <n v="9.5"/>
    <x v="0"/>
    <s v="yes"/>
  </r>
  <r>
    <x v="49"/>
    <s v="dementia"/>
    <x v="10"/>
    <n v="8"/>
    <x v="0"/>
    <s v="yes"/>
  </r>
  <r>
    <x v="49"/>
    <s v="dementia"/>
    <x v="11"/>
    <n v="6.5"/>
    <x v="0"/>
    <s v="yes"/>
  </r>
  <r>
    <x v="50"/>
    <s v="schizo"/>
    <x v="0"/>
    <n v="22"/>
    <x v="1"/>
    <s v="yes"/>
  </r>
  <r>
    <x v="50"/>
    <s v="schizo"/>
    <x v="1"/>
    <n v="21.5"/>
    <x v="1"/>
    <s v="yes"/>
  </r>
  <r>
    <x v="50"/>
    <s v="schizo"/>
    <x v="2"/>
    <n v="21"/>
    <x v="1"/>
    <s v="yes"/>
  </r>
  <r>
    <x v="50"/>
    <s v="schizo"/>
    <x v="3"/>
    <n v="20.5"/>
    <x v="1"/>
    <s v="yes"/>
  </r>
  <r>
    <x v="50"/>
    <s v="schizo"/>
    <x v="4"/>
    <n v="20"/>
    <x v="1"/>
    <s v="yes"/>
  </r>
  <r>
    <x v="50"/>
    <s v="schizo"/>
    <x v="5"/>
    <n v="19.5"/>
    <x v="1"/>
    <s v="yes"/>
  </r>
  <r>
    <x v="50"/>
    <s v="schizo"/>
    <x v="6"/>
    <n v="19"/>
    <x v="1"/>
    <s v="yes"/>
  </r>
  <r>
    <x v="50"/>
    <s v="schizo"/>
    <x v="7"/>
    <n v="18.5"/>
    <x v="1"/>
    <s v="yes"/>
  </r>
  <r>
    <x v="50"/>
    <s v="schizo"/>
    <x v="8"/>
    <n v="18"/>
    <x v="1"/>
    <s v="yes"/>
  </r>
  <r>
    <x v="50"/>
    <s v="schizo"/>
    <x v="9"/>
    <n v="17.5"/>
    <x v="1"/>
    <s v="yes"/>
  </r>
  <r>
    <x v="50"/>
    <s v="schizo"/>
    <x v="10"/>
    <n v="17"/>
    <x v="1"/>
    <s v="yes"/>
  </r>
  <r>
    <x v="50"/>
    <s v="schizo"/>
    <x v="11"/>
    <n v="16.5"/>
    <x v="1"/>
    <s v="yes"/>
  </r>
  <r>
    <x v="51"/>
    <s v="dementia"/>
    <x v="0"/>
    <n v="24"/>
    <x v="1"/>
    <s v="yes"/>
  </r>
  <r>
    <x v="51"/>
    <s v="dementia"/>
    <x v="1"/>
    <n v="22.8"/>
    <x v="1"/>
    <s v="yes"/>
  </r>
  <r>
    <x v="51"/>
    <s v="dementia"/>
    <x v="2"/>
    <n v="21.6"/>
    <x v="1"/>
    <s v="yes"/>
  </r>
  <r>
    <x v="51"/>
    <s v="dementia"/>
    <x v="3"/>
    <n v="20.400000000000002"/>
    <x v="1"/>
    <s v="yes"/>
  </r>
  <r>
    <x v="51"/>
    <s v="dementia"/>
    <x v="4"/>
    <n v="19.200000000000003"/>
    <x v="1"/>
    <s v="yes"/>
  </r>
  <r>
    <x v="51"/>
    <s v="dementia"/>
    <x v="5"/>
    <n v="18.000000000000004"/>
    <x v="1"/>
    <s v="yes"/>
  </r>
  <r>
    <x v="51"/>
    <s v="dementia"/>
    <x v="6"/>
    <n v="16.800000000000004"/>
    <x v="1"/>
    <s v="yes"/>
  </r>
  <r>
    <x v="51"/>
    <s v="dementia"/>
    <x v="7"/>
    <n v="15.600000000000005"/>
    <x v="1"/>
    <s v="yes"/>
  </r>
  <r>
    <x v="51"/>
    <s v="dementia"/>
    <x v="8"/>
    <n v="14.400000000000006"/>
    <x v="1"/>
    <s v="yes"/>
  </r>
  <r>
    <x v="51"/>
    <s v="dementia"/>
    <x v="9"/>
    <n v="13.200000000000006"/>
    <x v="1"/>
    <s v="yes"/>
  </r>
  <r>
    <x v="51"/>
    <s v="dementia"/>
    <x v="10"/>
    <n v="12.000000000000007"/>
    <x v="1"/>
    <s v="yes"/>
  </r>
  <r>
    <x v="51"/>
    <s v="dementia"/>
    <x v="11"/>
    <n v="10.800000000000008"/>
    <x v="1"/>
    <s v="yes"/>
  </r>
  <r>
    <x v="52"/>
    <s v="schizo"/>
    <x v="0"/>
    <n v="21"/>
    <x v="0"/>
    <s v="no"/>
  </r>
  <r>
    <x v="52"/>
    <s v="schizo"/>
    <x v="1"/>
    <n v="19.698970004336019"/>
    <x v="0"/>
    <s v="no"/>
  </r>
  <r>
    <x v="52"/>
    <s v="schizo"/>
    <x v="2"/>
    <n v="18.522878745280337"/>
    <x v="0"/>
    <s v="no"/>
  </r>
  <r>
    <x v="52"/>
    <s v="schizo"/>
    <x v="3"/>
    <n v="17.397940008672037"/>
    <x v="0"/>
    <s v="no"/>
  </r>
  <r>
    <x v="52"/>
    <s v="schizo"/>
    <x v="4"/>
    <n v="16.301029995663981"/>
    <x v="0"/>
    <s v="no"/>
  </r>
  <r>
    <x v="52"/>
    <s v="schizo"/>
    <x v="5"/>
    <n v="15.221848749616356"/>
    <x v="0"/>
    <s v="no"/>
  </r>
  <r>
    <x v="52"/>
    <s v="schizo"/>
    <x v="6"/>
    <n v="14.154901959985743"/>
    <x v="0"/>
    <s v="no"/>
  </r>
  <r>
    <x v="52"/>
    <s v="schizo"/>
    <x v="7"/>
    <n v="13.096910013008056"/>
    <x v="0"/>
    <s v="no"/>
  </r>
  <r>
    <x v="52"/>
    <s v="schizo"/>
    <x v="8"/>
    <n v="12.045757490560675"/>
    <x v="0"/>
    <s v="no"/>
  </r>
  <r>
    <x v="52"/>
    <s v="schizo"/>
    <x v="9"/>
    <n v="11"/>
    <x v="0"/>
    <s v="no"/>
  </r>
  <r>
    <x v="52"/>
    <s v="schizo"/>
    <x v="10"/>
    <n v="9.9586073148417746"/>
    <x v="0"/>
    <s v="no"/>
  </r>
  <r>
    <x v="52"/>
    <s v="schizo"/>
    <x v="11"/>
    <n v="8.9208187539523749"/>
    <x v="0"/>
    <s v="no"/>
  </r>
  <r>
    <x v="53"/>
    <s v="dementia"/>
    <x v="0"/>
    <n v="23"/>
    <x v="0"/>
    <s v="no"/>
  </r>
  <r>
    <x v="53"/>
    <s v="dementia"/>
    <x v="1"/>
    <n v="21.198970004336019"/>
    <x v="0"/>
    <s v="no"/>
  </r>
  <r>
    <x v="53"/>
    <s v="dementia"/>
    <x v="2"/>
    <n v="19.522878745280337"/>
    <x v="0"/>
    <s v="no"/>
  </r>
  <r>
    <x v="53"/>
    <s v="dementia"/>
    <x v="3"/>
    <n v="17.897940008672037"/>
    <x v="0"/>
    <s v="no"/>
  </r>
  <r>
    <x v="53"/>
    <s v="dementia"/>
    <x v="4"/>
    <n v="16.301029995663981"/>
    <x v="0"/>
    <s v="no"/>
  </r>
  <r>
    <x v="53"/>
    <s v="dementia"/>
    <x v="5"/>
    <n v="14.721848749616356"/>
    <x v="0"/>
    <s v="no"/>
  </r>
  <r>
    <x v="53"/>
    <s v="dementia"/>
    <x v="6"/>
    <n v="13.154901959985743"/>
    <x v="0"/>
    <s v="no"/>
  </r>
  <r>
    <x v="53"/>
    <s v="dementia"/>
    <x v="7"/>
    <n v="11.596910013008056"/>
    <x v="0"/>
    <s v="no"/>
  </r>
  <r>
    <x v="53"/>
    <s v="dementia"/>
    <x v="8"/>
    <n v="10.045757490560675"/>
    <x v="0"/>
    <s v="no"/>
  </r>
  <r>
    <x v="53"/>
    <s v="dementia"/>
    <x v="9"/>
    <n v="8.5"/>
    <x v="0"/>
    <s v="no"/>
  </r>
  <r>
    <x v="53"/>
    <s v="dementia"/>
    <x v="10"/>
    <n v="6.9586073148417746"/>
    <x v="0"/>
    <s v="no"/>
  </r>
  <r>
    <x v="53"/>
    <s v="dementia"/>
    <x v="11"/>
    <n v="5.4208187539523749"/>
    <x v="0"/>
    <s v="no"/>
  </r>
  <r>
    <x v="54"/>
    <s v="schizo"/>
    <x v="0"/>
    <n v="22"/>
    <x v="1"/>
    <s v="no"/>
  </r>
  <r>
    <x v="54"/>
    <s v="schizo"/>
    <x v="1"/>
    <n v="21.198970004336019"/>
    <x v="1"/>
    <s v="no"/>
  </r>
  <r>
    <x v="54"/>
    <s v="schizo"/>
    <x v="2"/>
    <n v="20.522878745280337"/>
    <x v="1"/>
    <s v="no"/>
  </r>
  <r>
    <x v="54"/>
    <s v="schizo"/>
    <x v="3"/>
    <n v="19.897940008672037"/>
    <x v="1"/>
    <s v="no"/>
  </r>
  <r>
    <x v="54"/>
    <s v="schizo"/>
    <x v="4"/>
    <n v="19.301029995663981"/>
    <x v="1"/>
    <s v="no"/>
  </r>
  <r>
    <x v="54"/>
    <s v="schizo"/>
    <x v="5"/>
    <n v="18.721848749616356"/>
    <x v="1"/>
    <s v="no"/>
  </r>
  <r>
    <x v="54"/>
    <s v="schizo"/>
    <x v="6"/>
    <n v="18.154901959985743"/>
    <x v="1"/>
    <s v="no"/>
  </r>
  <r>
    <x v="54"/>
    <s v="schizo"/>
    <x v="7"/>
    <n v="17.596910013008056"/>
    <x v="1"/>
    <s v="no"/>
  </r>
  <r>
    <x v="54"/>
    <s v="schizo"/>
    <x v="8"/>
    <n v="17.045757490560675"/>
    <x v="1"/>
    <s v="no"/>
  </r>
  <r>
    <x v="54"/>
    <s v="schizo"/>
    <x v="9"/>
    <n v="16.5"/>
    <x v="1"/>
    <s v="no"/>
  </r>
  <r>
    <x v="54"/>
    <s v="schizo"/>
    <x v="10"/>
    <n v="15.958607314841775"/>
    <x v="1"/>
    <s v="no"/>
  </r>
  <r>
    <x v="54"/>
    <s v="schizo"/>
    <x v="11"/>
    <n v="15.420818753952375"/>
    <x v="1"/>
    <s v="no"/>
  </r>
  <r>
    <x v="55"/>
    <s v="dementia"/>
    <x v="0"/>
    <n v="24"/>
    <x v="1"/>
    <s v="no"/>
  </r>
  <r>
    <x v="55"/>
    <s v="dementia"/>
    <x v="1"/>
    <n v="22.498970004336019"/>
    <x v="1"/>
    <s v="no"/>
  </r>
  <r>
    <x v="55"/>
    <s v="dementia"/>
    <x v="2"/>
    <n v="21.122878745280339"/>
    <x v="1"/>
    <s v="no"/>
  </r>
  <r>
    <x v="55"/>
    <s v="dementia"/>
    <x v="3"/>
    <n v="19.79794000867204"/>
    <x v="1"/>
    <s v="no"/>
  </r>
  <r>
    <x v="55"/>
    <s v="dementia"/>
    <x v="4"/>
    <n v="18.501029995663984"/>
    <x v="1"/>
    <s v="no"/>
  </r>
  <r>
    <x v="55"/>
    <s v="dementia"/>
    <x v="5"/>
    <n v="17.22184874961636"/>
    <x v="1"/>
    <s v="no"/>
  </r>
  <r>
    <x v="55"/>
    <s v="dementia"/>
    <x v="6"/>
    <n v="15.954901959985747"/>
    <x v="1"/>
    <s v="no"/>
  </r>
  <r>
    <x v="55"/>
    <s v="dementia"/>
    <x v="7"/>
    <n v="14.696910013008061"/>
    <x v="1"/>
    <s v="no"/>
  </r>
  <r>
    <x v="55"/>
    <s v="dementia"/>
    <x v="8"/>
    <n v="13.44575749056068"/>
    <x v="1"/>
    <s v="no"/>
  </r>
  <r>
    <x v="55"/>
    <s v="dementia"/>
    <x v="9"/>
    <n v="12.200000000000006"/>
    <x v="1"/>
    <s v="no"/>
  </r>
  <r>
    <x v="55"/>
    <s v="dementia"/>
    <x v="10"/>
    <n v="10.958607314841782"/>
    <x v="1"/>
    <s v="no"/>
  </r>
  <r>
    <x v="55"/>
    <s v="dementia"/>
    <x v="11"/>
    <n v="9.7208187539523827"/>
    <x v="1"/>
    <s v="no"/>
  </r>
  <r>
    <x v="56"/>
    <s v="schizo"/>
    <x v="0"/>
    <n v="19"/>
    <x v="0"/>
    <s v="yes"/>
  </r>
  <r>
    <x v="56"/>
    <s v="schizo"/>
    <x v="1"/>
    <n v="18"/>
    <x v="0"/>
    <s v="yes"/>
  </r>
  <r>
    <x v="56"/>
    <s v="schizo"/>
    <x v="2"/>
    <n v="17"/>
    <x v="0"/>
    <s v="yes"/>
  </r>
  <r>
    <x v="56"/>
    <s v="schizo"/>
    <x v="3"/>
    <n v="16"/>
    <x v="0"/>
    <s v="yes"/>
  </r>
  <r>
    <x v="56"/>
    <s v="schizo"/>
    <x v="4"/>
    <n v="15"/>
    <x v="0"/>
    <s v="yes"/>
  </r>
  <r>
    <x v="56"/>
    <s v="schizo"/>
    <x v="5"/>
    <n v="14"/>
    <x v="0"/>
    <s v="yes"/>
  </r>
  <r>
    <x v="56"/>
    <s v="schizo"/>
    <x v="6"/>
    <n v="13"/>
    <x v="0"/>
    <s v="yes"/>
  </r>
  <r>
    <x v="56"/>
    <s v="schizo"/>
    <x v="7"/>
    <n v="12"/>
    <x v="0"/>
    <s v="yes"/>
  </r>
  <r>
    <x v="56"/>
    <s v="schizo"/>
    <x v="8"/>
    <n v="11"/>
    <x v="0"/>
    <s v="yes"/>
  </r>
  <r>
    <x v="56"/>
    <s v="schizo"/>
    <x v="9"/>
    <n v="10"/>
    <x v="0"/>
    <s v="yes"/>
  </r>
  <r>
    <x v="56"/>
    <s v="schizo"/>
    <x v="10"/>
    <n v="9"/>
    <x v="0"/>
    <s v="yes"/>
  </r>
  <r>
    <x v="56"/>
    <s v="schizo"/>
    <x v="11"/>
    <n v="8"/>
    <x v="0"/>
    <s v="yes"/>
  </r>
  <r>
    <x v="57"/>
    <s v="dementia"/>
    <x v="0"/>
    <n v="21"/>
    <x v="0"/>
    <s v="yes"/>
  </r>
  <r>
    <x v="57"/>
    <s v="dementia"/>
    <x v="1"/>
    <n v="19.5"/>
    <x v="0"/>
    <s v="yes"/>
  </r>
  <r>
    <x v="57"/>
    <s v="dementia"/>
    <x v="2"/>
    <n v="18"/>
    <x v="0"/>
    <s v="yes"/>
  </r>
  <r>
    <x v="57"/>
    <s v="dementia"/>
    <x v="3"/>
    <n v="16.5"/>
    <x v="0"/>
    <s v="yes"/>
  </r>
  <r>
    <x v="57"/>
    <s v="dementia"/>
    <x v="4"/>
    <n v="15"/>
    <x v="0"/>
    <s v="yes"/>
  </r>
  <r>
    <x v="57"/>
    <s v="dementia"/>
    <x v="5"/>
    <n v="13.5"/>
    <x v="0"/>
    <s v="yes"/>
  </r>
  <r>
    <x v="57"/>
    <s v="dementia"/>
    <x v="6"/>
    <n v="12"/>
    <x v="0"/>
    <s v="yes"/>
  </r>
  <r>
    <x v="57"/>
    <s v="dementia"/>
    <x v="7"/>
    <n v="10.5"/>
    <x v="0"/>
    <s v="yes"/>
  </r>
  <r>
    <x v="57"/>
    <s v="dementia"/>
    <x v="8"/>
    <n v="9"/>
    <x v="0"/>
    <s v="yes"/>
  </r>
  <r>
    <x v="57"/>
    <s v="dementia"/>
    <x v="9"/>
    <n v="7.5"/>
    <x v="0"/>
    <s v="yes"/>
  </r>
  <r>
    <x v="57"/>
    <s v="dementia"/>
    <x v="10"/>
    <n v="6"/>
    <x v="0"/>
    <s v="yes"/>
  </r>
  <r>
    <x v="57"/>
    <s v="dementia"/>
    <x v="11"/>
    <n v="4.5"/>
    <x v="0"/>
    <s v="yes"/>
  </r>
  <r>
    <x v="58"/>
    <s v="schizo"/>
    <x v="0"/>
    <n v="20"/>
    <x v="1"/>
    <s v="yes"/>
  </r>
  <r>
    <x v="58"/>
    <s v="schizo"/>
    <x v="1"/>
    <n v="19.5"/>
    <x v="1"/>
    <s v="yes"/>
  </r>
  <r>
    <x v="58"/>
    <s v="schizo"/>
    <x v="2"/>
    <n v="19"/>
    <x v="1"/>
    <s v="yes"/>
  </r>
  <r>
    <x v="58"/>
    <s v="schizo"/>
    <x v="3"/>
    <n v="18.5"/>
    <x v="1"/>
    <s v="yes"/>
  </r>
  <r>
    <x v="58"/>
    <s v="schizo"/>
    <x v="4"/>
    <n v="18"/>
    <x v="1"/>
    <s v="yes"/>
  </r>
  <r>
    <x v="58"/>
    <s v="schizo"/>
    <x v="5"/>
    <n v="17.5"/>
    <x v="1"/>
    <s v="yes"/>
  </r>
  <r>
    <x v="58"/>
    <s v="schizo"/>
    <x v="6"/>
    <n v="17"/>
    <x v="1"/>
    <s v="yes"/>
  </r>
  <r>
    <x v="58"/>
    <s v="schizo"/>
    <x v="7"/>
    <n v="16.5"/>
    <x v="1"/>
    <s v="yes"/>
  </r>
  <r>
    <x v="58"/>
    <s v="schizo"/>
    <x v="8"/>
    <n v="16"/>
    <x v="1"/>
    <s v="yes"/>
  </r>
  <r>
    <x v="58"/>
    <s v="schizo"/>
    <x v="9"/>
    <n v="15.5"/>
    <x v="1"/>
    <s v="yes"/>
  </r>
  <r>
    <x v="58"/>
    <s v="schizo"/>
    <x v="10"/>
    <n v="15"/>
    <x v="1"/>
    <s v="yes"/>
  </r>
  <r>
    <x v="58"/>
    <s v="schizo"/>
    <x v="11"/>
    <n v="14.5"/>
    <x v="1"/>
    <s v="yes"/>
  </r>
  <r>
    <x v="59"/>
    <s v="dementia"/>
    <x v="0"/>
    <n v="22"/>
    <x v="1"/>
    <s v="yes"/>
  </r>
  <r>
    <x v="59"/>
    <s v="dementia"/>
    <x v="1"/>
    <n v="20.8"/>
    <x v="1"/>
    <s v="yes"/>
  </r>
  <r>
    <x v="59"/>
    <s v="dementia"/>
    <x v="2"/>
    <n v="19.600000000000001"/>
    <x v="1"/>
    <s v="yes"/>
  </r>
  <r>
    <x v="59"/>
    <s v="dementia"/>
    <x v="3"/>
    <n v="18.400000000000002"/>
    <x v="1"/>
    <s v="yes"/>
  </r>
  <r>
    <x v="59"/>
    <s v="dementia"/>
    <x v="4"/>
    <n v="17.200000000000003"/>
    <x v="1"/>
    <s v="yes"/>
  </r>
  <r>
    <x v="59"/>
    <s v="dementia"/>
    <x v="5"/>
    <n v="16.000000000000004"/>
    <x v="1"/>
    <s v="yes"/>
  </r>
  <r>
    <x v="59"/>
    <s v="dementia"/>
    <x v="6"/>
    <n v="14.800000000000004"/>
    <x v="1"/>
    <s v="yes"/>
  </r>
  <r>
    <x v="59"/>
    <s v="dementia"/>
    <x v="7"/>
    <n v="13.600000000000005"/>
    <x v="1"/>
    <s v="yes"/>
  </r>
  <r>
    <x v="59"/>
    <s v="dementia"/>
    <x v="8"/>
    <n v="12.400000000000006"/>
    <x v="1"/>
    <s v="yes"/>
  </r>
  <r>
    <x v="59"/>
    <s v="dementia"/>
    <x v="9"/>
    <n v="11.200000000000006"/>
    <x v="1"/>
    <s v="yes"/>
  </r>
  <r>
    <x v="59"/>
    <s v="dementia"/>
    <x v="10"/>
    <n v="10.000000000000007"/>
    <x v="1"/>
    <s v="yes"/>
  </r>
  <r>
    <x v="59"/>
    <s v="dementia"/>
    <x v="11"/>
    <n v="8.8000000000000078"/>
    <x v="1"/>
    <s v="yes"/>
  </r>
  <r>
    <x v="60"/>
    <s v="schizo"/>
    <x v="0"/>
    <n v="19"/>
    <x v="0"/>
    <s v="no"/>
  </r>
  <r>
    <x v="60"/>
    <s v="schizo"/>
    <x v="1"/>
    <n v="17.698970004336019"/>
    <x v="0"/>
    <s v="no"/>
  </r>
  <r>
    <x v="60"/>
    <s v="schizo"/>
    <x v="2"/>
    <n v="16.522878745280337"/>
    <x v="0"/>
    <s v="no"/>
  </r>
  <r>
    <x v="60"/>
    <s v="schizo"/>
    <x v="3"/>
    <n v="15.397940008672037"/>
    <x v="0"/>
    <s v="no"/>
  </r>
  <r>
    <x v="60"/>
    <s v="schizo"/>
    <x v="4"/>
    <n v="14.301029995663981"/>
    <x v="0"/>
    <s v="no"/>
  </r>
  <r>
    <x v="60"/>
    <s v="schizo"/>
    <x v="5"/>
    <n v="13.221848749616356"/>
    <x v="0"/>
    <s v="no"/>
  </r>
  <r>
    <x v="60"/>
    <s v="schizo"/>
    <x v="6"/>
    <n v="12.154901959985743"/>
    <x v="0"/>
    <s v="no"/>
  </r>
  <r>
    <x v="60"/>
    <s v="schizo"/>
    <x v="7"/>
    <n v="11.096910013008056"/>
    <x v="0"/>
    <s v="no"/>
  </r>
  <r>
    <x v="60"/>
    <s v="schizo"/>
    <x v="8"/>
    <n v="10.045757490560675"/>
    <x v="0"/>
    <s v="no"/>
  </r>
  <r>
    <x v="60"/>
    <s v="schizo"/>
    <x v="9"/>
    <n v="9"/>
    <x v="0"/>
    <s v="no"/>
  </r>
  <r>
    <x v="60"/>
    <s v="schizo"/>
    <x v="10"/>
    <n v="7.9586073148417746"/>
    <x v="0"/>
    <s v="no"/>
  </r>
  <r>
    <x v="60"/>
    <s v="schizo"/>
    <x v="11"/>
    <n v="6.9208187539523749"/>
    <x v="0"/>
    <s v="no"/>
  </r>
  <r>
    <x v="61"/>
    <s v="dementia"/>
    <x v="0"/>
    <n v="21"/>
    <x v="0"/>
    <s v="no"/>
  </r>
  <r>
    <x v="61"/>
    <s v="dementia"/>
    <x v="1"/>
    <n v="19.198970004336019"/>
    <x v="0"/>
    <s v="no"/>
  </r>
  <r>
    <x v="61"/>
    <s v="dementia"/>
    <x v="2"/>
    <n v="17.522878745280337"/>
    <x v="0"/>
    <s v="no"/>
  </r>
  <r>
    <x v="61"/>
    <s v="dementia"/>
    <x v="3"/>
    <n v="15.897940008672037"/>
    <x v="0"/>
    <s v="no"/>
  </r>
  <r>
    <x v="61"/>
    <s v="dementia"/>
    <x v="4"/>
    <n v="14.301029995663981"/>
    <x v="0"/>
    <s v="no"/>
  </r>
  <r>
    <x v="61"/>
    <s v="dementia"/>
    <x v="5"/>
    <n v="12.721848749616356"/>
    <x v="0"/>
    <s v="no"/>
  </r>
  <r>
    <x v="61"/>
    <s v="dementia"/>
    <x v="6"/>
    <n v="11.154901959985743"/>
    <x v="0"/>
    <s v="no"/>
  </r>
  <r>
    <x v="61"/>
    <s v="dementia"/>
    <x v="7"/>
    <n v="9.5969100130080562"/>
    <x v="0"/>
    <s v="no"/>
  </r>
  <r>
    <x v="61"/>
    <s v="dementia"/>
    <x v="8"/>
    <n v="8.0457574905606748"/>
    <x v="0"/>
    <s v="no"/>
  </r>
  <r>
    <x v="61"/>
    <s v="dementia"/>
    <x v="9"/>
    <n v="6.5"/>
    <x v="0"/>
    <s v="no"/>
  </r>
  <r>
    <x v="61"/>
    <s v="dementia"/>
    <x v="10"/>
    <n v="4.9586073148417746"/>
    <x v="0"/>
    <s v="no"/>
  </r>
  <r>
    <x v="61"/>
    <s v="dementia"/>
    <x v="11"/>
    <n v="3.4208187539523749"/>
    <x v="0"/>
    <s v="no"/>
  </r>
  <r>
    <x v="62"/>
    <s v="schizo"/>
    <x v="0"/>
    <n v="20"/>
    <x v="1"/>
    <s v="no"/>
  </r>
  <r>
    <x v="62"/>
    <s v="schizo"/>
    <x v="1"/>
    <n v="19.198970004336019"/>
    <x v="1"/>
    <s v="no"/>
  </r>
  <r>
    <x v="62"/>
    <s v="schizo"/>
    <x v="2"/>
    <n v="18.522878745280337"/>
    <x v="1"/>
    <s v="no"/>
  </r>
  <r>
    <x v="62"/>
    <s v="schizo"/>
    <x v="3"/>
    <n v="17.897940008672037"/>
    <x v="1"/>
    <s v="no"/>
  </r>
  <r>
    <x v="62"/>
    <s v="schizo"/>
    <x v="4"/>
    <n v="17.301029995663981"/>
    <x v="1"/>
    <s v="no"/>
  </r>
  <r>
    <x v="62"/>
    <s v="schizo"/>
    <x v="5"/>
    <n v="16.721848749616356"/>
    <x v="1"/>
    <s v="no"/>
  </r>
  <r>
    <x v="62"/>
    <s v="schizo"/>
    <x v="6"/>
    <n v="16.154901959985743"/>
    <x v="1"/>
    <s v="no"/>
  </r>
  <r>
    <x v="62"/>
    <s v="schizo"/>
    <x v="7"/>
    <n v="15.596910013008056"/>
    <x v="1"/>
    <s v="no"/>
  </r>
  <r>
    <x v="62"/>
    <s v="schizo"/>
    <x v="8"/>
    <n v="15.045757490560675"/>
    <x v="1"/>
    <s v="no"/>
  </r>
  <r>
    <x v="62"/>
    <s v="schizo"/>
    <x v="9"/>
    <n v="14.5"/>
    <x v="1"/>
    <s v="no"/>
  </r>
  <r>
    <x v="62"/>
    <s v="schizo"/>
    <x v="10"/>
    <n v="13.958607314841775"/>
    <x v="1"/>
    <s v="no"/>
  </r>
  <r>
    <x v="62"/>
    <s v="schizo"/>
    <x v="11"/>
    <n v="13.420818753952375"/>
    <x v="1"/>
    <s v="no"/>
  </r>
  <r>
    <x v="63"/>
    <s v="dementia"/>
    <x v="0"/>
    <n v="22"/>
    <x v="1"/>
    <s v="no"/>
  </r>
  <r>
    <x v="63"/>
    <s v="dementia"/>
    <x v="1"/>
    <n v="20.498970004336019"/>
    <x v="1"/>
    <s v="no"/>
  </r>
  <r>
    <x v="63"/>
    <s v="dementia"/>
    <x v="2"/>
    <n v="19.122878745280339"/>
    <x v="1"/>
    <s v="no"/>
  </r>
  <r>
    <x v="63"/>
    <s v="dementia"/>
    <x v="3"/>
    <n v="17.79794000867204"/>
    <x v="1"/>
    <s v="no"/>
  </r>
  <r>
    <x v="63"/>
    <s v="dementia"/>
    <x v="4"/>
    <n v="16.501029995663984"/>
    <x v="1"/>
    <s v="no"/>
  </r>
  <r>
    <x v="63"/>
    <s v="dementia"/>
    <x v="5"/>
    <n v="15.22184874961636"/>
    <x v="1"/>
    <s v="no"/>
  </r>
  <r>
    <x v="63"/>
    <s v="dementia"/>
    <x v="6"/>
    <n v="13.954901959985747"/>
    <x v="1"/>
    <s v="no"/>
  </r>
  <r>
    <x v="63"/>
    <s v="dementia"/>
    <x v="7"/>
    <n v="12.696910013008061"/>
    <x v="1"/>
    <s v="no"/>
  </r>
  <r>
    <x v="63"/>
    <s v="dementia"/>
    <x v="8"/>
    <n v="11.44575749056068"/>
    <x v="1"/>
    <s v="no"/>
  </r>
  <r>
    <x v="63"/>
    <s v="dementia"/>
    <x v="9"/>
    <n v="10.200000000000006"/>
    <x v="1"/>
    <s v="no"/>
  </r>
  <r>
    <x v="63"/>
    <s v="dementia"/>
    <x v="10"/>
    <n v="8.9586073148417817"/>
    <x v="1"/>
    <s v="no"/>
  </r>
  <r>
    <x v="63"/>
    <s v="dementia"/>
    <x v="11"/>
    <n v="7.7208187539523827"/>
    <x v="1"/>
    <s v="no"/>
  </r>
  <r>
    <x v="64"/>
    <s v="schizo"/>
    <x v="0"/>
    <n v="17"/>
    <x v="0"/>
    <s v="yes"/>
  </r>
  <r>
    <x v="64"/>
    <s v="schizo"/>
    <x v="1"/>
    <n v="16"/>
    <x v="0"/>
    <s v="yes"/>
  </r>
  <r>
    <x v="64"/>
    <s v="schizo"/>
    <x v="2"/>
    <n v="15"/>
    <x v="0"/>
    <s v="yes"/>
  </r>
  <r>
    <x v="64"/>
    <s v="schizo"/>
    <x v="3"/>
    <n v="14"/>
    <x v="0"/>
    <s v="yes"/>
  </r>
  <r>
    <x v="64"/>
    <s v="schizo"/>
    <x v="4"/>
    <n v="13"/>
    <x v="0"/>
    <s v="yes"/>
  </r>
  <r>
    <x v="64"/>
    <s v="schizo"/>
    <x v="5"/>
    <n v="12"/>
    <x v="0"/>
    <s v="yes"/>
  </r>
  <r>
    <x v="64"/>
    <s v="schizo"/>
    <x v="6"/>
    <n v="11"/>
    <x v="0"/>
    <s v="yes"/>
  </r>
  <r>
    <x v="64"/>
    <s v="schizo"/>
    <x v="7"/>
    <n v="10"/>
    <x v="0"/>
    <s v="yes"/>
  </r>
  <r>
    <x v="64"/>
    <s v="schizo"/>
    <x v="8"/>
    <n v="9"/>
    <x v="0"/>
    <s v="yes"/>
  </r>
  <r>
    <x v="64"/>
    <s v="schizo"/>
    <x v="9"/>
    <n v="8"/>
    <x v="0"/>
    <s v="yes"/>
  </r>
  <r>
    <x v="64"/>
    <s v="schizo"/>
    <x v="10"/>
    <n v="7"/>
    <x v="0"/>
    <s v="yes"/>
  </r>
  <r>
    <x v="64"/>
    <s v="schizo"/>
    <x v="11"/>
    <n v="6"/>
    <x v="0"/>
    <s v="yes"/>
  </r>
  <r>
    <x v="65"/>
    <s v="dementia"/>
    <x v="0"/>
    <n v="19"/>
    <x v="0"/>
    <s v="yes"/>
  </r>
  <r>
    <x v="65"/>
    <s v="dementia"/>
    <x v="1"/>
    <n v="17.5"/>
    <x v="0"/>
    <s v="yes"/>
  </r>
  <r>
    <x v="65"/>
    <s v="dementia"/>
    <x v="2"/>
    <n v="16"/>
    <x v="0"/>
    <s v="yes"/>
  </r>
  <r>
    <x v="65"/>
    <s v="dementia"/>
    <x v="3"/>
    <n v="14.5"/>
    <x v="0"/>
    <s v="yes"/>
  </r>
  <r>
    <x v="65"/>
    <s v="dementia"/>
    <x v="4"/>
    <n v="13"/>
    <x v="0"/>
    <s v="yes"/>
  </r>
  <r>
    <x v="65"/>
    <s v="dementia"/>
    <x v="5"/>
    <n v="11.5"/>
    <x v="0"/>
    <s v="yes"/>
  </r>
  <r>
    <x v="65"/>
    <s v="dementia"/>
    <x v="6"/>
    <n v="10"/>
    <x v="0"/>
    <s v="yes"/>
  </r>
  <r>
    <x v="65"/>
    <s v="dementia"/>
    <x v="7"/>
    <n v="8.5"/>
    <x v="0"/>
    <s v="yes"/>
  </r>
  <r>
    <x v="65"/>
    <s v="dementia"/>
    <x v="8"/>
    <n v="7"/>
    <x v="0"/>
    <s v="yes"/>
  </r>
  <r>
    <x v="65"/>
    <s v="dementia"/>
    <x v="9"/>
    <n v="5.5"/>
    <x v="0"/>
    <s v="yes"/>
  </r>
  <r>
    <x v="65"/>
    <s v="dementia"/>
    <x v="10"/>
    <n v="4"/>
    <x v="0"/>
    <s v="yes"/>
  </r>
  <r>
    <x v="65"/>
    <s v="dementia"/>
    <x v="11"/>
    <n v="2.5"/>
    <x v="0"/>
    <s v="yes"/>
  </r>
  <r>
    <x v="66"/>
    <s v="schizo"/>
    <x v="0"/>
    <n v="18"/>
    <x v="1"/>
    <s v="yes"/>
  </r>
  <r>
    <x v="66"/>
    <s v="schizo"/>
    <x v="1"/>
    <n v="17.5"/>
    <x v="1"/>
    <s v="yes"/>
  </r>
  <r>
    <x v="66"/>
    <s v="schizo"/>
    <x v="2"/>
    <n v="17"/>
    <x v="1"/>
    <s v="yes"/>
  </r>
  <r>
    <x v="66"/>
    <s v="schizo"/>
    <x v="3"/>
    <n v="16.5"/>
    <x v="1"/>
    <s v="yes"/>
  </r>
  <r>
    <x v="66"/>
    <s v="schizo"/>
    <x v="4"/>
    <n v="16"/>
    <x v="1"/>
    <s v="yes"/>
  </r>
  <r>
    <x v="66"/>
    <s v="schizo"/>
    <x v="5"/>
    <n v="15.5"/>
    <x v="1"/>
    <s v="yes"/>
  </r>
  <r>
    <x v="66"/>
    <s v="schizo"/>
    <x v="6"/>
    <n v="15"/>
    <x v="1"/>
    <s v="yes"/>
  </r>
  <r>
    <x v="66"/>
    <s v="schizo"/>
    <x v="7"/>
    <n v="14.5"/>
    <x v="1"/>
    <s v="yes"/>
  </r>
  <r>
    <x v="66"/>
    <s v="schizo"/>
    <x v="8"/>
    <n v="14"/>
    <x v="1"/>
    <s v="yes"/>
  </r>
  <r>
    <x v="66"/>
    <s v="schizo"/>
    <x v="9"/>
    <n v="13.5"/>
    <x v="1"/>
    <s v="yes"/>
  </r>
  <r>
    <x v="66"/>
    <s v="schizo"/>
    <x v="10"/>
    <n v="13"/>
    <x v="1"/>
    <s v="yes"/>
  </r>
  <r>
    <x v="66"/>
    <s v="schizo"/>
    <x v="11"/>
    <n v="12.5"/>
    <x v="1"/>
    <s v="yes"/>
  </r>
  <r>
    <x v="67"/>
    <s v="dementia"/>
    <x v="0"/>
    <n v="20"/>
    <x v="1"/>
    <s v="yes"/>
  </r>
  <r>
    <x v="67"/>
    <s v="dementia"/>
    <x v="1"/>
    <n v="18.8"/>
    <x v="1"/>
    <s v="yes"/>
  </r>
  <r>
    <x v="67"/>
    <s v="dementia"/>
    <x v="2"/>
    <n v="17.600000000000001"/>
    <x v="1"/>
    <s v="yes"/>
  </r>
  <r>
    <x v="67"/>
    <s v="dementia"/>
    <x v="3"/>
    <n v="16.400000000000002"/>
    <x v="1"/>
    <s v="yes"/>
  </r>
  <r>
    <x v="67"/>
    <s v="dementia"/>
    <x v="4"/>
    <n v="15.200000000000003"/>
    <x v="1"/>
    <s v="yes"/>
  </r>
  <r>
    <x v="67"/>
    <s v="dementia"/>
    <x v="5"/>
    <n v="14.000000000000004"/>
    <x v="1"/>
    <s v="yes"/>
  </r>
  <r>
    <x v="67"/>
    <s v="dementia"/>
    <x v="6"/>
    <n v="12.800000000000004"/>
    <x v="1"/>
    <s v="yes"/>
  </r>
  <r>
    <x v="67"/>
    <s v="dementia"/>
    <x v="7"/>
    <n v="11.600000000000005"/>
    <x v="1"/>
    <s v="yes"/>
  </r>
  <r>
    <x v="67"/>
    <s v="dementia"/>
    <x v="8"/>
    <n v="10.400000000000006"/>
    <x v="1"/>
    <s v="yes"/>
  </r>
  <r>
    <x v="67"/>
    <s v="dementia"/>
    <x v="9"/>
    <n v="9.2000000000000064"/>
    <x v="1"/>
    <s v="yes"/>
  </r>
  <r>
    <x v="67"/>
    <s v="dementia"/>
    <x v="10"/>
    <n v="8.0000000000000071"/>
    <x v="1"/>
    <s v="yes"/>
  </r>
  <r>
    <x v="67"/>
    <s v="dementia"/>
    <x v="11"/>
    <n v="6.8000000000000069"/>
    <x v="1"/>
    <s v="yes"/>
  </r>
  <r>
    <x v="68"/>
    <s v="schizo"/>
    <x v="0"/>
    <n v="17"/>
    <x v="0"/>
    <s v="no"/>
  </r>
  <r>
    <x v="68"/>
    <s v="schizo"/>
    <x v="1"/>
    <n v="15.698970004336019"/>
    <x v="0"/>
    <s v="no"/>
  </r>
  <r>
    <x v="68"/>
    <s v="schizo"/>
    <x v="2"/>
    <n v="14.522878745280337"/>
    <x v="0"/>
    <s v="no"/>
  </r>
  <r>
    <x v="68"/>
    <s v="schizo"/>
    <x v="3"/>
    <n v="13.397940008672037"/>
    <x v="0"/>
    <s v="no"/>
  </r>
  <r>
    <x v="68"/>
    <s v="schizo"/>
    <x v="4"/>
    <n v="12.301029995663981"/>
    <x v="0"/>
    <s v="no"/>
  </r>
  <r>
    <x v="68"/>
    <s v="schizo"/>
    <x v="5"/>
    <n v="11.221848749616356"/>
    <x v="0"/>
    <s v="no"/>
  </r>
  <r>
    <x v="68"/>
    <s v="schizo"/>
    <x v="6"/>
    <n v="10.154901959985743"/>
    <x v="0"/>
    <s v="no"/>
  </r>
  <r>
    <x v="68"/>
    <s v="schizo"/>
    <x v="7"/>
    <n v="9.0969100130080562"/>
    <x v="0"/>
    <s v="no"/>
  </r>
  <r>
    <x v="68"/>
    <s v="schizo"/>
    <x v="8"/>
    <n v="8.0457574905606748"/>
    <x v="0"/>
    <s v="no"/>
  </r>
  <r>
    <x v="68"/>
    <s v="schizo"/>
    <x v="9"/>
    <n v="7"/>
    <x v="0"/>
    <s v="no"/>
  </r>
  <r>
    <x v="68"/>
    <s v="schizo"/>
    <x v="10"/>
    <n v="5.9586073148417746"/>
    <x v="0"/>
    <s v="no"/>
  </r>
  <r>
    <x v="68"/>
    <s v="schizo"/>
    <x v="11"/>
    <n v="4.9208187539523749"/>
    <x v="0"/>
    <s v="no"/>
  </r>
  <r>
    <x v="69"/>
    <s v="dementia"/>
    <x v="0"/>
    <n v="19"/>
    <x v="0"/>
    <s v="no"/>
  </r>
  <r>
    <x v="69"/>
    <s v="dementia"/>
    <x v="1"/>
    <n v="17.198970004336019"/>
    <x v="0"/>
    <s v="no"/>
  </r>
  <r>
    <x v="69"/>
    <s v="dementia"/>
    <x v="2"/>
    <n v="15.522878745280337"/>
    <x v="0"/>
    <s v="no"/>
  </r>
  <r>
    <x v="69"/>
    <s v="dementia"/>
    <x v="3"/>
    <n v="13.897940008672037"/>
    <x v="0"/>
    <s v="no"/>
  </r>
  <r>
    <x v="69"/>
    <s v="dementia"/>
    <x v="4"/>
    <n v="12.301029995663981"/>
    <x v="0"/>
    <s v="no"/>
  </r>
  <r>
    <x v="69"/>
    <s v="dementia"/>
    <x v="5"/>
    <n v="10.721848749616356"/>
    <x v="0"/>
    <s v="no"/>
  </r>
  <r>
    <x v="69"/>
    <s v="dementia"/>
    <x v="6"/>
    <n v="9.1549019599857431"/>
    <x v="0"/>
    <s v="no"/>
  </r>
  <r>
    <x v="69"/>
    <s v="dementia"/>
    <x v="7"/>
    <n v="7.5969100130080562"/>
    <x v="0"/>
    <s v="no"/>
  </r>
  <r>
    <x v="69"/>
    <s v="dementia"/>
    <x v="8"/>
    <n v="6.0457574905606748"/>
    <x v="0"/>
    <s v="no"/>
  </r>
  <r>
    <x v="69"/>
    <s v="dementia"/>
    <x v="9"/>
    <n v="4.5"/>
    <x v="0"/>
    <s v="no"/>
  </r>
  <r>
    <x v="69"/>
    <s v="dementia"/>
    <x v="10"/>
    <n v="2.9586073148417746"/>
    <x v="0"/>
    <s v="no"/>
  </r>
  <r>
    <x v="69"/>
    <s v="dementia"/>
    <x v="11"/>
    <n v="1.4208187539523751"/>
    <x v="0"/>
    <s v="no"/>
  </r>
  <r>
    <x v="70"/>
    <s v="schizo"/>
    <x v="0"/>
    <n v="18"/>
    <x v="1"/>
    <s v="no"/>
  </r>
  <r>
    <x v="70"/>
    <s v="schizo"/>
    <x v="1"/>
    <n v="17.198970004336019"/>
    <x v="1"/>
    <s v="no"/>
  </r>
  <r>
    <x v="70"/>
    <s v="schizo"/>
    <x v="2"/>
    <n v="16.522878745280337"/>
    <x v="1"/>
    <s v="no"/>
  </r>
  <r>
    <x v="70"/>
    <s v="schizo"/>
    <x v="3"/>
    <n v="15.897940008672037"/>
    <x v="1"/>
    <s v="no"/>
  </r>
  <r>
    <x v="70"/>
    <s v="schizo"/>
    <x v="4"/>
    <n v="15.301029995663981"/>
    <x v="1"/>
    <s v="no"/>
  </r>
  <r>
    <x v="70"/>
    <s v="schizo"/>
    <x v="5"/>
    <n v="14.721848749616356"/>
    <x v="1"/>
    <s v="no"/>
  </r>
  <r>
    <x v="70"/>
    <s v="schizo"/>
    <x v="6"/>
    <n v="14.154901959985743"/>
    <x v="1"/>
    <s v="no"/>
  </r>
  <r>
    <x v="70"/>
    <s v="schizo"/>
    <x v="7"/>
    <n v="13.596910013008056"/>
    <x v="1"/>
    <s v="no"/>
  </r>
  <r>
    <x v="70"/>
    <s v="schizo"/>
    <x v="8"/>
    <n v="13.045757490560675"/>
    <x v="1"/>
    <s v="no"/>
  </r>
  <r>
    <x v="70"/>
    <s v="schizo"/>
    <x v="9"/>
    <n v="12.5"/>
    <x v="1"/>
    <s v="no"/>
  </r>
  <r>
    <x v="70"/>
    <s v="schizo"/>
    <x v="10"/>
    <n v="11.958607314841775"/>
    <x v="1"/>
    <s v="no"/>
  </r>
  <r>
    <x v="70"/>
    <s v="schizo"/>
    <x v="11"/>
    <n v="11.420818753952375"/>
    <x v="1"/>
    <s v="no"/>
  </r>
  <r>
    <x v="71"/>
    <s v="dementia"/>
    <x v="0"/>
    <n v="20"/>
    <x v="1"/>
    <s v="no"/>
  </r>
  <r>
    <x v="71"/>
    <s v="dementia"/>
    <x v="1"/>
    <n v="18.498970004336019"/>
    <x v="1"/>
    <s v="no"/>
  </r>
  <r>
    <x v="71"/>
    <s v="dementia"/>
    <x v="2"/>
    <n v="17.122878745280339"/>
    <x v="1"/>
    <s v="no"/>
  </r>
  <r>
    <x v="71"/>
    <s v="dementia"/>
    <x v="3"/>
    <n v="15.79794000867204"/>
    <x v="1"/>
    <s v="no"/>
  </r>
  <r>
    <x v="71"/>
    <s v="dementia"/>
    <x v="4"/>
    <n v="14.501029995663984"/>
    <x v="1"/>
    <s v="no"/>
  </r>
  <r>
    <x v="71"/>
    <s v="dementia"/>
    <x v="5"/>
    <n v="13.22184874961636"/>
    <x v="1"/>
    <s v="no"/>
  </r>
  <r>
    <x v="71"/>
    <s v="dementia"/>
    <x v="6"/>
    <n v="11.954901959985747"/>
    <x v="1"/>
    <s v="no"/>
  </r>
  <r>
    <x v="71"/>
    <s v="dementia"/>
    <x v="7"/>
    <n v="10.696910013008061"/>
    <x v="1"/>
    <s v="no"/>
  </r>
  <r>
    <x v="71"/>
    <s v="dementia"/>
    <x v="8"/>
    <n v="9.4457574905606805"/>
    <x v="1"/>
    <s v="no"/>
  </r>
  <r>
    <x v="71"/>
    <s v="dementia"/>
    <x v="9"/>
    <n v="8.2000000000000064"/>
    <x v="1"/>
    <s v="no"/>
  </r>
  <r>
    <x v="71"/>
    <s v="dementia"/>
    <x v="10"/>
    <n v="6.9586073148417817"/>
    <x v="1"/>
    <s v="no"/>
  </r>
  <r>
    <x v="71"/>
    <s v="dementia"/>
    <x v="11"/>
    <n v="5.7208187539523818"/>
    <x v="1"/>
    <s v="no"/>
  </r>
  <r>
    <x v="72"/>
    <m/>
    <x v="12"/>
    <m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4BD0CE-EE3F-4825-96E0-9AFF10FBA56C}" name="PivotTable1" cacheId="0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2">
  <location ref="A3:AK16" firstHeaderRow="1" firstDataRow="2" firstDataCol="1" rowPageCount="1" colPageCount="1"/>
  <pivotFields count="6">
    <pivotField axis="axisCol" showAll="0">
      <items count="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showAll="0"/>
    <pivotField axis="axisRow" showAll="0">
      <items count="9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7"/>
        <item m="1" x="24"/>
        <item m="1" x="31"/>
        <item m="1" x="37"/>
        <item m="1" x="40"/>
        <item m="1" x="43"/>
        <item m="1" x="47"/>
        <item m="1" x="51"/>
        <item m="1" x="56"/>
        <item m="1" x="60"/>
        <item m="1" x="64"/>
        <item m="1" x="68"/>
        <item m="1" x="72"/>
        <item m="1" x="76"/>
        <item m="1" x="79"/>
        <item m="1" x="82"/>
        <item m="1" x="85"/>
        <item m="1" x="88"/>
        <item m="1" x="91"/>
        <item m="1" x="95"/>
        <item m="1" x="54"/>
        <item m="1" x="15"/>
        <item m="1" x="58"/>
        <item m="1" x="19"/>
        <item m="1" x="62"/>
        <item m="1" x="22"/>
        <item m="1" x="66"/>
        <item m="1" x="26"/>
        <item m="1" x="70"/>
        <item m="1" x="29"/>
        <item m="1" x="74"/>
        <item m="1" x="33"/>
        <item m="1" x="78"/>
        <item m="1" x="36"/>
        <item m="1" x="81"/>
        <item m="1" x="39"/>
        <item m="1" x="84"/>
        <item m="1" x="42"/>
        <item m="1" x="87"/>
        <item m="1" x="45"/>
        <item m="1" x="90"/>
        <item m="1" x="49"/>
        <item m="1" x="94"/>
        <item m="1" x="53"/>
        <item m="1" x="14"/>
        <item m="1" x="57"/>
        <item m="1" x="18"/>
        <item m="1" x="61"/>
        <item m="1" x="21"/>
        <item m="1" x="65"/>
        <item m="1" x="25"/>
        <item m="1" x="69"/>
        <item m="1" x="46"/>
        <item m="1" x="28"/>
        <item m="1" x="92"/>
        <item m="1" x="73"/>
        <item m="1" x="50"/>
        <item m="1" x="32"/>
        <item m="1" x="96"/>
        <item m="1" x="77"/>
        <item m="1" x="55"/>
        <item m="1" x="35"/>
        <item m="1" x="16"/>
        <item m="1" x="80"/>
        <item m="1" x="59"/>
        <item m="1" x="38"/>
        <item m="1" x="20"/>
        <item m="1" x="83"/>
        <item m="1" x="63"/>
        <item m="1" x="41"/>
        <item m="1" x="23"/>
        <item m="1" x="86"/>
        <item m="1" x="67"/>
        <item m="1" x="44"/>
        <item m="1" x="27"/>
        <item m="1" x="89"/>
        <item m="1" x="71"/>
        <item m="1" x="48"/>
        <item m="1" x="30"/>
        <item m="1" x="93"/>
        <item m="1" x="75"/>
        <item m="1" x="52"/>
        <item m="1" x="34"/>
        <item m="1" x="13"/>
        <item h="1" x="12"/>
        <item t="default"/>
      </items>
    </pivotField>
    <pivotField dataField="1" showAll="0"/>
    <pivotField axis="axisPage" showAll="0">
      <items count="4">
        <item x="1"/>
        <item x="0"/>
        <item x="2"/>
        <item t="default"/>
      </items>
    </pivotField>
    <pivotField showAl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0"/>
  </colFields>
  <colItems count="36">
    <i>
      <x/>
    </i>
    <i>
      <x v="1"/>
    </i>
    <i>
      <x v="4"/>
    </i>
    <i>
      <x v="5"/>
    </i>
    <i>
      <x v="8"/>
    </i>
    <i>
      <x v="9"/>
    </i>
    <i>
      <x v="12"/>
    </i>
    <i>
      <x v="13"/>
    </i>
    <i>
      <x v="16"/>
    </i>
    <i>
      <x v="17"/>
    </i>
    <i>
      <x v="20"/>
    </i>
    <i>
      <x v="21"/>
    </i>
    <i>
      <x v="24"/>
    </i>
    <i>
      <x v="25"/>
    </i>
    <i>
      <x v="28"/>
    </i>
    <i>
      <x v="29"/>
    </i>
    <i>
      <x v="32"/>
    </i>
    <i>
      <x v="33"/>
    </i>
    <i>
      <x v="36"/>
    </i>
    <i>
      <x v="37"/>
    </i>
    <i>
      <x v="40"/>
    </i>
    <i>
      <x v="41"/>
    </i>
    <i>
      <x v="44"/>
    </i>
    <i>
      <x v="45"/>
    </i>
    <i>
      <x v="48"/>
    </i>
    <i>
      <x v="49"/>
    </i>
    <i>
      <x v="52"/>
    </i>
    <i>
      <x v="53"/>
    </i>
    <i>
      <x v="56"/>
    </i>
    <i>
      <x v="57"/>
    </i>
    <i>
      <x v="60"/>
    </i>
    <i>
      <x v="61"/>
    </i>
    <i>
      <x v="64"/>
    </i>
    <i>
      <x v="65"/>
    </i>
    <i>
      <x v="68"/>
    </i>
    <i>
      <x v="69"/>
    </i>
  </colItems>
  <pageFields count="1">
    <pageField fld="4" item="1" hier="-1"/>
  </pageFields>
  <dataFields count="1">
    <dataField name="Average of score" fld="3" subtotal="average" baseField="0" baseItem="12" numFmtId="165"/>
  </dataFields>
  <chartFormats count="85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" format="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" format="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8"/>
          </reference>
        </references>
      </pivotArea>
    </chartFormat>
    <chartFormat chart="1" format="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9"/>
          </reference>
        </references>
      </pivotArea>
    </chartFormat>
    <chartFormat chart="1" format="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0"/>
          </reference>
        </references>
      </pivotArea>
    </chartFormat>
    <chartFormat chart="1" format="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1"/>
          </reference>
        </references>
      </pivotArea>
    </chartFormat>
    <chartFormat chart="1" format="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2"/>
          </reference>
        </references>
      </pivotArea>
    </chartFormat>
    <chartFormat chart="1" format="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3"/>
          </reference>
        </references>
      </pivotArea>
    </chartFormat>
    <chartFormat chart="1" format="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4"/>
          </reference>
        </references>
      </pivotArea>
    </chartFormat>
    <chartFormat chart="1" format="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5"/>
          </reference>
        </references>
      </pivotArea>
    </chartFormat>
    <chartFormat chart="1" format="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6"/>
          </reference>
        </references>
      </pivotArea>
    </chartFormat>
    <chartFormat chart="1" format="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7"/>
          </reference>
        </references>
      </pivotArea>
    </chartFormat>
    <chartFormat chart="1" format="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8"/>
          </reference>
        </references>
      </pivotArea>
    </chartFormat>
    <chartFormat chart="1" format="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9"/>
          </reference>
        </references>
      </pivotArea>
    </chartFormat>
    <chartFormat chart="1" format="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0"/>
          </reference>
        </references>
      </pivotArea>
    </chartFormat>
    <chartFormat chart="1" format="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1"/>
          </reference>
        </references>
      </pivotArea>
    </chartFormat>
    <chartFormat chart="1" format="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2"/>
          </reference>
        </references>
      </pivotArea>
    </chartFormat>
    <chartFormat chart="1" format="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3"/>
          </reference>
        </references>
      </pivotArea>
    </chartFormat>
    <chartFormat chart="1" format="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4"/>
          </reference>
        </references>
      </pivotArea>
    </chartFormat>
    <chartFormat chart="1" format="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5"/>
          </reference>
        </references>
      </pivotArea>
    </chartFormat>
    <chartFormat chart="1" format="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6"/>
          </reference>
        </references>
      </pivotArea>
    </chartFormat>
    <chartFormat chart="1" format="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7"/>
          </reference>
        </references>
      </pivotArea>
    </chartFormat>
    <chartFormat chart="1" format="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8"/>
          </reference>
        </references>
      </pivotArea>
    </chartFormat>
    <chartFormat chart="1" format="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9"/>
          </reference>
        </references>
      </pivotArea>
    </chartFormat>
    <chartFormat chart="1" format="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0"/>
          </reference>
        </references>
      </pivotArea>
    </chartFormat>
    <chartFormat chart="1" format="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1"/>
          </reference>
        </references>
      </pivotArea>
    </chartFormat>
    <chartFormat chart="1" format="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9BE75-8E5C-4749-9386-EC0D1E14E2AE}">
  <sheetPr codeName="Sheet1"/>
  <dimension ref="A1:AK16"/>
  <sheetViews>
    <sheetView zoomScale="70" zoomScaleNormal="70" workbookViewId="0">
      <selection activeCell="E21" sqref="E21"/>
    </sheetView>
  </sheetViews>
  <sheetFormatPr baseColWidth="10" defaultColWidth="8.83203125" defaultRowHeight="15" x14ac:dyDescent="0.2"/>
  <cols>
    <col min="1" max="1" width="14.6640625" bestFit="1" customWidth="1"/>
    <col min="2" max="97" width="4.5" customWidth="1"/>
    <col min="98" max="98" width="6.6640625" bestFit="1" customWidth="1"/>
    <col min="99" max="99" width="12" bestFit="1" customWidth="1"/>
  </cols>
  <sheetData>
    <row r="1" spans="1:37" x14ac:dyDescent="0.2">
      <c r="A1" s="4" t="s">
        <v>4</v>
      </c>
      <c r="B1" t="s">
        <v>7</v>
      </c>
    </row>
    <row r="3" spans="1:37" x14ac:dyDescent="0.2">
      <c r="A3" s="4" t="s">
        <v>17</v>
      </c>
      <c r="B3" s="4" t="s">
        <v>16</v>
      </c>
    </row>
    <row r="4" spans="1:37" x14ac:dyDescent="0.2">
      <c r="A4" s="4" t="s">
        <v>15</v>
      </c>
      <c r="B4">
        <v>1</v>
      </c>
      <c r="C4">
        <v>2</v>
      </c>
      <c r="D4">
        <v>5</v>
      </c>
      <c r="E4">
        <v>6</v>
      </c>
      <c r="F4">
        <v>9</v>
      </c>
      <c r="G4">
        <v>10</v>
      </c>
      <c r="H4">
        <v>13</v>
      </c>
      <c r="I4">
        <v>14</v>
      </c>
      <c r="J4">
        <v>17</v>
      </c>
      <c r="K4">
        <v>18</v>
      </c>
      <c r="L4">
        <v>21</v>
      </c>
      <c r="M4">
        <v>22</v>
      </c>
      <c r="N4">
        <v>25</v>
      </c>
      <c r="O4">
        <v>26</v>
      </c>
      <c r="P4">
        <v>29</v>
      </c>
      <c r="Q4">
        <v>30</v>
      </c>
      <c r="R4">
        <v>33</v>
      </c>
      <c r="S4">
        <v>34</v>
      </c>
      <c r="T4">
        <v>37</v>
      </c>
      <c r="U4">
        <v>38</v>
      </c>
      <c r="V4">
        <v>41</v>
      </c>
      <c r="W4">
        <v>42</v>
      </c>
      <c r="X4">
        <v>45</v>
      </c>
      <c r="Y4">
        <v>46</v>
      </c>
      <c r="Z4">
        <v>49</v>
      </c>
      <c r="AA4">
        <v>50</v>
      </c>
      <c r="AB4">
        <v>53</v>
      </c>
      <c r="AC4">
        <v>54</v>
      </c>
      <c r="AD4">
        <v>57</v>
      </c>
      <c r="AE4">
        <v>58</v>
      </c>
      <c r="AF4">
        <v>61</v>
      </c>
      <c r="AG4">
        <v>62</v>
      </c>
      <c r="AH4">
        <v>65</v>
      </c>
      <c r="AI4">
        <v>66</v>
      </c>
      <c r="AJ4">
        <v>69</v>
      </c>
      <c r="AK4">
        <v>70</v>
      </c>
    </row>
    <row r="5" spans="1:37" x14ac:dyDescent="0.2">
      <c r="A5" s="5">
        <v>1</v>
      </c>
      <c r="B5" s="6">
        <v>24</v>
      </c>
      <c r="C5" s="6">
        <v>26</v>
      </c>
      <c r="D5" s="6">
        <v>24</v>
      </c>
      <c r="E5" s="6">
        <v>24.214670164989233</v>
      </c>
      <c r="F5" s="6">
        <v>22</v>
      </c>
      <c r="G5" s="6">
        <v>24</v>
      </c>
      <c r="H5" s="6">
        <v>22</v>
      </c>
      <c r="I5" s="6">
        <v>24</v>
      </c>
      <c r="J5" s="6">
        <v>20</v>
      </c>
      <c r="K5" s="6">
        <v>22</v>
      </c>
      <c r="L5" s="6">
        <v>20</v>
      </c>
      <c r="M5" s="6">
        <v>22</v>
      </c>
      <c r="N5" s="6">
        <v>18</v>
      </c>
      <c r="O5" s="6">
        <v>20</v>
      </c>
      <c r="P5" s="6">
        <v>18</v>
      </c>
      <c r="Q5" s="6">
        <v>20</v>
      </c>
      <c r="R5" s="6">
        <v>16</v>
      </c>
      <c r="S5" s="6">
        <v>18</v>
      </c>
      <c r="T5" s="6">
        <v>16</v>
      </c>
      <c r="U5" s="6">
        <v>18</v>
      </c>
      <c r="V5" s="6">
        <v>23</v>
      </c>
      <c r="W5" s="6">
        <v>25</v>
      </c>
      <c r="X5" s="6">
        <v>23</v>
      </c>
      <c r="Y5" s="6">
        <v>25</v>
      </c>
      <c r="Z5" s="6">
        <v>21</v>
      </c>
      <c r="AA5" s="6">
        <v>23</v>
      </c>
      <c r="AB5" s="6">
        <v>21</v>
      </c>
      <c r="AC5" s="6">
        <v>23</v>
      </c>
      <c r="AD5" s="6">
        <v>19</v>
      </c>
      <c r="AE5" s="6">
        <v>21</v>
      </c>
      <c r="AF5" s="6">
        <v>19</v>
      </c>
      <c r="AG5" s="6">
        <v>21</v>
      </c>
      <c r="AH5" s="6">
        <v>17</v>
      </c>
      <c r="AI5" s="6">
        <v>19</v>
      </c>
      <c r="AJ5" s="6">
        <v>17</v>
      </c>
      <c r="AK5" s="6">
        <v>19</v>
      </c>
    </row>
    <row r="6" spans="1:37" x14ac:dyDescent="0.2">
      <c r="A6" s="5">
        <v>2</v>
      </c>
      <c r="B6" s="6">
        <v>23</v>
      </c>
      <c r="C6" s="6">
        <v>24.5</v>
      </c>
      <c r="D6" s="6">
        <v>21.301029995663981</v>
      </c>
      <c r="E6" s="6">
        <v>22.707608310501747</v>
      </c>
      <c r="F6" s="6">
        <v>21</v>
      </c>
      <c r="G6" s="6">
        <v>22.5</v>
      </c>
      <c r="H6" s="6">
        <v>20.698970004336019</v>
      </c>
      <c r="I6" s="6">
        <v>22.198970004336019</v>
      </c>
      <c r="J6" s="6">
        <v>19</v>
      </c>
      <c r="K6" s="6">
        <v>20.5</v>
      </c>
      <c r="L6" s="6">
        <v>18.698970004336019</v>
      </c>
      <c r="M6" s="6">
        <v>20.198970004336019</v>
      </c>
      <c r="N6" s="6">
        <v>17</v>
      </c>
      <c r="O6" s="6">
        <v>18.5</v>
      </c>
      <c r="P6" s="6">
        <v>16.698970004336019</v>
      </c>
      <c r="Q6" s="6">
        <v>18.198970004336019</v>
      </c>
      <c r="R6" s="6">
        <v>15</v>
      </c>
      <c r="S6" s="6">
        <v>16.5</v>
      </c>
      <c r="T6" s="6">
        <v>14.698970004336019</v>
      </c>
      <c r="U6" s="6">
        <v>16.198970004336019</v>
      </c>
      <c r="V6" s="6">
        <v>22</v>
      </c>
      <c r="W6" s="6">
        <v>23.5</v>
      </c>
      <c r="X6" s="6">
        <v>21.698970004336019</v>
      </c>
      <c r="Y6" s="6">
        <v>23.198970004336019</v>
      </c>
      <c r="Z6" s="6">
        <v>20</v>
      </c>
      <c r="AA6" s="6">
        <v>21.5</v>
      </c>
      <c r="AB6" s="6">
        <v>19.698970004336019</v>
      </c>
      <c r="AC6" s="6">
        <v>21.198970004336019</v>
      </c>
      <c r="AD6" s="6">
        <v>18</v>
      </c>
      <c r="AE6" s="6">
        <v>19.5</v>
      </c>
      <c r="AF6" s="6">
        <v>17.698970004336019</v>
      </c>
      <c r="AG6" s="6">
        <v>19.198970004336019</v>
      </c>
      <c r="AH6" s="6">
        <v>16</v>
      </c>
      <c r="AI6" s="6">
        <v>17.5</v>
      </c>
      <c r="AJ6" s="6">
        <v>15.698970004336019</v>
      </c>
      <c r="AK6" s="6">
        <v>17.198970004336019</v>
      </c>
    </row>
    <row r="7" spans="1:37" x14ac:dyDescent="0.2">
      <c r="A7" s="5">
        <v>3</v>
      </c>
      <c r="B7" s="6">
        <v>22</v>
      </c>
      <c r="C7" s="6">
        <v>23</v>
      </c>
      <c r="D7" s="6">
        <v>20.292429823902065</v>
      </c>
      <c r="E7" s="6">
        <v>21.200659450546418</v>
      </c>
      <c r="F7" s="6">
        <v>20</v>
      </c>
      <c r="G7" s="6">
        <v>21</v>
      </c>
      <c r="H7" s="6">
        <v>19.522878745280337</v>
      </c>
      <c r="I7" s="6">
        <v>20.522878745280337</v>
      </c>
      <c r="J7" s="6">
        <v>18</v>
      </c>
      <c r="K7" s="6">
        <v>19</v>
      </c>
      <c r="L7" s="6">
        <v>17.522878745280337</v>
      </c>
      <c r="M7" s="6">
        <v>18.522878745280337</v>
      </c>
      <c r="N7" s="6">
        <v>16</v>
      </c>
      <c r="O7" s="6">
        <v>17</v>
      </c>
      <c r="P7" s="6">
        <v>15.522878745280337</v>
      </c>
      <c r="Q7" s="6">
        <v>16.522878745280337</v>
      </c>
      <c r="R7" s="6">
        <v>14</v>
      </c>
      <c r="S7" s="6">
        <v>15</v>
      </c>
      <c r="T7" s="6">
        <v>13.522878745280337</v>
      </c>
      <c r="U7" s="6">
        <v>14.522878745280337</v>
      </c>
      <c r="V7" s="6">
        <v>21</v>
      </c>
      <c r="W7" s="6">
        <v>22</v>
      </c>
      <c r="X7" s="6">
        <v>20.522878745280337</v>
      </c>
      <c r="Y7" s="6">
        <v>21.522878745280337</v>
      </c>
      <c r="Z7" s="6">
        <v>19</v>
      </c>
      <c r="AA7" s="6">
        <v>20</v>
      </c>
      <c r="AB7" s="6">
        <v>18.522878745280337</v>
      </c>
      <c r="AC7" s="6">
        <v>19.522878745280337</v>
      </c>
      <c r="AD7" s="6">
        <v>17</v>
      </c>
      <c r="AE7" s="6">
        <v>18</v>
      </c>
      <c r="AF7" s="6">
        <v>16.522878745280337</v>
      </c>
      <c r="AG7" s="6">
        <v>17.522878745280337</v>
      </c>
      <c r="AH7" s="6">
        <v>15</v>
      </c>
      <c r="AI7" s="6">
        <v>16</v>
      </c>
      <c r="AJ7" s="6">
        <v>14.522878745280337</v>
      </c>
      <c r="AK7" s="6">
        <v>15.522878745280337</v>
      </c>
    </row>
    <row r="8" spans="1:37" x14ac:dyDescent="0.2">
      <c r="A8" s="5">
        <v>4</v>
      </c>
      <c r="B8" s="6">
        <v>21</v>
      </c>
      <c r="C8" s="6">
        <v>21.5</v>
      </c>
      <c r="D8" s="6">
        <v>19.283996656365201</v>
      </c>
      <c r="E8" s="6">
        <v>19.693820026016112</v>
      </c>
      <c r="F8" s="6">
        <v>19</v>
      </c>
      <c r="G8" s="6">
        <v>19.5</v>
      </c>
      <c r="H8" s="6">
        <v>18.397940008672037</v>
      </c>
      <c r="I8" s="6">
        <v>18.897940008672037</v>
      </c>
      <c r="J8" s="6">
        <v>17</v>
      </c>
      <c r="K8" s="6">
        <v>17.5</v>
      </c>
      <c r="L8" s="6">
        <v>16.397940008672037</v>
      </c>
      <c r="M8" s="6">
        <v>16.897940008672037</v>
      </c>
      <c r="N8" s="6">
        <v>15</v>
      </c>
      <c r="O8" s="6">
        <v>15.5</v>
      </c>
      <c r="P8" s="6">
        <v>14.397940008672037</v>
      </c>
      <c r="Q8" s="6">
        <v>14.897940008672037</v>
      </c>
      <c r="R8" s="6">
        <v>13</v>
      </c>
      <c r="S8" s="6">
        <v>13.5</v>
      </c>
      <c r="T8" s="6">
        <v>12.397940008672037</v>
      </c>
      <c r="U8" s="6">
        <v>12.897940008672037</v>
      </c>
      <c r="V8" s="6">
        <v>20</v>
      </c>
      <c r="W8" s="6">
        <v>20.5</v>
      </c>
      <c r="X8" s="6">
        <v>19.397940008672037</v>
      </c>
      <c r="Y8" s="6">
        <v>19.897940008672037</v>
      </c>
      <c r="Z8" s="6">
        <v>18</v>
      </c>
      <c r="AA8" s="6">
        <v>18.5</v>
      </c>
      <c r="AB8" s="6">
        <v>17.397940008672037</v>
      </c>
      <c r="AC8" s="6">
        <v>17.897940008672037</v>
      </c>
      <c r="AD8" s="6">
        <v>16</v>
      </c>
      <c r="AE8" s="6">
        <v>16.5</v>
      </c>
      <c r="AF8" s="6">
        <v>15.397940008672037</v>
      </c>
      <c r="AG8" s="6">
        <v>15.897940008672037</v>
      </c>
      <c r="AH8" s="6">
        <v>14</v>
      </c>
      <c r="AI8" s="6">
        <v>14.5</v>
      </c>
      <c r="AJ8" s="6">
        <v>13.397940008672037</v>
      </c>
      <c r="AK8" s="6">
        <v>13.897940008672037</v>
      </c>
    </row>
    <row r="9" spans="1:37" x14ac:dyDescent="0.2">
      <c r="A9" s="5">
        <v>5</v>
      </c>
      <c r="B9" s="6">
        <v>20</v>
      </c>
      <c r="C9" s="6">
        <v>20</v>
      </c>
      <c r="D9" s="6">
        <v>18.275724130399212</v>
      </c>
      <c r="E9" s="6">
        <v>18.187086643357144</v>
      </c>
      <c r="F9" s="6">
        <v>18</v>
      </c>
      <c r="G9" s="6">
        <v>18</v>
      </c>
      <c r="H9" s="6">
        <v>17.301029995663981</v>
      </c>
      <c r="I9" s="6">
        <v>17.301029995663981</v>
      </c>
      <c r="J9" s="6">
        <v>16</v>
      </c>
      <c r="K9" s="6">
        <v>16</v>
      </c>
      <c r="L9" s="6">
        <v>15.301029995663981</v>
      </c>
      <c r="M9" s="6">
        <v>15.301029995663981</v>
      </c>
      <c r="N9" s="6">
        <v>14</v>
      </c>
      <c r="O9" s="6">
        <v>14</v>
      </c>
      <c r="P9" s="6">
        <v>13.301029995663981</v>
      </c>
      <c r="Q9" s="6">
        <v>13.301029995663981</v>
      </c>
      <c r="R9" s="6">
        <v>12</v>
      </c>
      <c r="S9" s="6">
        <v>12</v>
      </c>
      <c r="T9" s="6">
        <v>11.301029995663981</v>
      </c>
      <c r="U9" s="6">
        <v>11.301029995663981</v>
      </c>
      <c r="V9" s="6">
        <v>19</v>
      </c>
      <c r="W9" s="6">
        <v>19</v>
      </c>
      <c r="X9" s="6">
        <v>18.301029995663981</v>
      </c>
      <c r="Y9" s="6">
        <v>18.301029995663981</v>
      </c>
      <c r="Z9" s="6">
        <v>17</v>
      </c>
      <c r="AA9" s="6">
        <v>17</v>
      </c>
      <c r="AB9" s="6">
        <v>16.301029995663981</v>
      </c>
      <c r="AC9" s="6">
        <v>16.301029995663981</v>
      </c>
      <c r="AD9" s="6">
        <v>15</v>
      </c>
      <c r="AE9" s="6">
        <v>15</v>
      </c>
      <c r="AF9" s="6">
        <v>14.301029995663981</v>
      </c>
      <c r="AG9" s="6">
        <v>14.301029995663981</v>
      </c>
      <c r="AH9" s="6">
        <v>13</v>
      </c>
      <c r="AI9" s="6">
        <v>13</v>
      </c>
      <c r="AJ9" s="6">
        <v>12.301029995663981</v>
      </c>
      <c r="AK9" s="6">
        <v>12.301029995663981</v>
      </c>
    </row>
    <row r="10" spans="1:37" x14ac:dyDescent="0.2">
      <c r="A10" s="5">
        <v>6</v>
      </c>
      <c r="B10" s="6">
        <v>19</v>
      </c>
      <c r="C10" s="6">
        <v>18.5</v>
      </c>
      <c r="D10" s="6">
        <v>17.267606240177031</v>
      </c>
      <c r="E10" s="6">
        <v>16.680456064458131</v>
      </c>
      <c r="F10" s="6">
        <v>17</v>
      </c>
      <c r="G10" s="6">
        <v>16.5</v>
      </c>
      <c r="H10" s="6">
        <v>16.221848749616356</v>
      </c>
      <c r="I10" s="6">
        <v>15.721848749616356</v>
      </c>
      <c r="J10" s="6">
        <v>15</v>
      </c>
      <c r="K10" s="6">
        <v>14.5</v>
      </c>
      <c r="L10" s="6">
        <v>14.221848749616356</v>
      </c>
      <c r="M10" s="6">
        <v>13.721848749616356</v>
      </c>
      <c r="N10" s="6">
        <v>13</v>
      </c>
      <c r="O10" s="6">
        <v>12.5</v>
      </c>
      <c r="P10" s="6">
        <v>12.221848749616356</v>
      </c>
      <c r="Q10" s="6">
        <v>11.721848749616356</v>
      </c>
      <c r="R10" s="6">
        <v>11</v>
      </c>
      <c r="S10" s="6">
        <v>10.5</v>
      </c>
      <c r="T10" s="6">
        <v>10.221848749616356</v>
      </c>
      <c r="U10" s="6">
        <v>9.7218487496163561</v>
      </c>
      <c r="V10" s="6">
        <v>18</v>
      </c>
      <c r="W10" s="6">
        <v>17.5</v>
      </c>
      <c r="X10" s="6">
        <v>17.221848749616356</v>
      </c>
      <c r="Y10" s="6">
        <v>16.721848749616356</v>
      </c>
      <c r="Z10" s="6">
        <v>16</v>
      </c>
      <c r="AA10" s="6">
        <v>15.5</v>
      </c>
      <c r="AB10" s="6">
        <v>15.221848749616356</v>
      </c>
      <c r="AC10" s="6">
        <v>14.721848749616356</v>
      </c>
      <c r="AD10" s="6">
        <v>14</v>
      </c>
      <c r="AE10" s="6">
        <v>13.5</v>
      </c>
      <c r="AF10" s="6">
        <v>13.221848749616356</v>
      </c>
      <c r="AG10" s="6">
        <v>12.721848749616356</v>
      </c>
      <c r="AH10" s="6">
        <v>12</v>
      </c>
      <c r="AI10" s="6">
        <v>11.5</v>
      </c>
      <c r="AJ10" s="6">
        <v>11.221848749616356</v>
      </c>
      <c r="AK10" s="6">
        <v>10.721848749616356</v>
      </c>
    </row>
    <row r="11" spans="1:37" x14ac:dyDescent="0.2">
      <c r="A11" s="5">
        <v>7</v>
      </c>
      <c r="B11" s="6">
        <v>18</v>
      </c>
      <c r="C11" s="6">
        <v>17</v>
      </c>
      <c r="D11" s="6">
        <v>16.259637310505756</v>
      </c>
      <c r="E11" s="6">
        <v>15.173925197299173</v>
      </c>
      <c r="F11" s="6">
        <v>16</v>
      </c>
      <c r="G11" s="6">
        <v>15</v>
      </c>
      <c r="H11" s="6">
        <v>15.154901959985743</v>
      </c>
      <c r="I11" s="6">
        <v>14.154901959985743</v>
      </c>
      <c r="J11" s="6">
        <v>14</v>
      </c>
      <c r="K11" s="6">
        <v>13</v>
      </c>
      <c r="L11" s="6">
        <v>13.154901959985743</v>
      </c>
      <c r="M11" s="6">
        <v>12.154901959985743</v>
      </c>
      <c r="N11" s="6">
        <v>12</v>
      </c>
      <c r="O11" s="6">
        <v>11</v>
      </c>
      <c r="P11" s="6">
        <v>11.154901959985743</v>
      </c>
      <c r="Q11" s="6">
        <v>10.154901959985743</v>
      </c>
      <c r="R11" s="6">
        <v>10</v>
      </c>
      <c r="S11" s="6">
        <v>9</v>
      </c>
      <c r="T11" s="6">
        <v>9.1549019599857431</v>
      </c>
      <c r="U11" s="6">
        <v>8.1549019599857431</v>
      </c>
      <c r="V11" s="6">
        <v>17</v>
      </c>
      <c r="W11" s="6">
        <v>16</v>
      </c>
      <c r="X11" s="6">
        <v>16.154901959985743</v>
      </c>
      <c r="Y11" s="6">
        <v>15.154901959985743</v>
      </c>
      <c r="Z11" s="6">
        <v>15</v>
      </c>
      <c r="AA11" s="6">
        <v>14</v>
      </c>
      <c r="AB11" s="6">
        <v>14.154901959985743</v>
      </c>
      <c r="AC11" s="6">
        <v>13.154901959985743</v>
      </c>
      <c r="AD11" s="6">
        <v>13</v>
      </c>
      <c r="AE11" s="6">
        <v>12</v>
      </c>
      <c r="AF11" s="6">
        <v>12.154901959985743</v>
      </c>
      <c r="AG11" s="6">
        <v>11.154901959985743</v>
      </c>
      <c r="AH11" s="6">
        <v>11</v>
      </c>
      <c r="AI11" s="6">
        <v>10</v>
      </c>
      <c r="AJ11" s="6">
        <v>10.154901959985743</v>
      </c>
      <c r="AK11" s="6">
        <v>9.1549019599857431</v>
      </c>
    </row>
    <row r="12" spans="1:37" x14ac:dyDescent="0.2">
      <c r="A12" s="5">
        <v>8</v>
      </c>
      <c r="B12" s="6">
        <v>17</v>
      </c>
      <c r="C12" s="6">
        <v>15.5</v>
      </c>
      <c r="D12" s="6">
        <v>15.251811972993799</v>
      </c>
      <c r="E12" s="6">
        <v>13.667491087293763</v>
      </c>
      <c r="F12" s="6">
        <v>15</v>
      </c>
      <c r="G12" s="6">
        <v>13.5</v>
      </c>
      <c r="H12" s="6">
        <v>14.096910013008056</v>
      </c>
      <c r="I12" s="6">
        <v>12.596910013008056</v>
      </c>
      <c r="J12" s="6">
        <v>13</v>
      </c>
      <c r="K12" s="6">
        <v>11.5</v>
      </c>
      <c r="L12" s="6">
        <v>12.096910013008056</v>
      </c>
      <c r="M12" s="6">
        <v>10.596910013008056</v>
      </c>
      <c r="N12" s="6">
        <v>11</v>
      </c>
      <c r="O12" s="6">
        <v>9.5</v>
      </c>
      <c r="P12" s="6">
        <v>10.096910013008056</v>
      </c>
      <c r="Q12" s="6">
        <v>8.5969100130080562</v>
      </c>
      <c r="R12" s="6">
        <v>9</v>
      </c>
      <c r="S12" s="6">
        <v>7.5</v>
      </c>
      <c r="T12" s="6">
        <v>8.0969100130080562</v>
      </c>
      <c r="U12" s="6">
        <v>6.5969100130080562</v>
      </c>
      <c r="V12" s="6">
        <v>16</v>
      </c>
      <c r="W12" s="6">
        <v>14.5</v>
      </c>
      <c r="X12" s="6">
        <v>15.096910013008056</v>
      </c>
      <c r="Y12" s="6">
        <v>13.596910013008056</v>
      </c>
      <c r="Z12" s="6">
        <v>14</v>
      </c>
      <c r="AA12" s="6">
        <v>12.5</v>
      </c>
      <c r="AB12" s="6">
        <v>13.096910013008056</v>
      </c>
      <c r="AC12" s="6">
        <v>11.596910013008056</v>
      </c>
      <c r="AD12" s="6">
        <v>12</v>
      </c>
      <c r="AE12" s="6">
        <v>10.5</v>
      </c>
      <c r="AF12" s="6">
        <v>11.096910013008056</v>
      </c>
      <c r="AG12" s="6">
        <v>9.5969100130080562</v>
      </c>
      <c r="AH12" s="6">
        <v>10</v>
      </c>
      <c r="AI12" s="6">
        <v>8.5</v>
      </c>
      <c r="AJ12" s="6">
        <v>9.0969100130080562</v>
      </c>
      <c r="AK12" s="6">
        <v>7.5969100130080562</v>
      </c>
    </row>
    <row r="13" spans="1:37" x14ac:dyDescent="0.2">
      <c r="A13" s="5">
        <v>9</v>
      </c>
      <c r="B13" s="6">
        <v>16</v>
      </c>
      <c r="C13" s="6">
        <v>14</v>
      </c>
      <c r="D13" s="6">
        <v>14.244125144327509</v>
      </c>
      <c r="E13" s="6">
        <v>12.161150909262744</v>
      </c>
      <c r="F13" s="6">
        <v>14</v>
      </c>
      <c r="G13" s="6">
        <v>12</v>
      </c>
      <c r="H13" s="6">
        <v>13.045757490560675</v>
      </c>
      <c r="I13" s="6">
        <v>11.045757490560675</v>
      </c>
      <c r="J13" s="6">
        <v>12</v>
      </c>
      <c r="K13" s="6">
        <v>10</v>
      </c>
      <c r="L13" s="6">
        <v>11.045757490560675</v>
      </c>
      <c r="M13" s="6">
        <v>9.0457574905606748</v>
      </c>
      <c r="N13" s="6">
        <v>10</v>
      </c>
      <c r="O13" s="6">
        <v>8</v>
      </c>
      <c r="P13" s="6">
        <v>9.0457574905606748</v>
      </c>
      <c r="Q13" s="6">
        <v>7.0457574905606748</v>
      </c>
      <c r="R13" s="6">
        <v>8</v>
      </c>
      <c r="S13" s="6">
        <v>6</v>
      </c>
      <c r="T13" s="6">
        <v>7.0457574905606748</v>
      </c>
      <c r="U13" s="6">
        <v>5.0457574905606748</v>
      </c>
      <c r="V13" s="6">
        <v>15</v>
      </c>
      <c r="W13" s="6">
        <v>13</v>
      </c>
      <c r="X13" s="6">
        <v>14.045757490560675</v>
      </c>
      <c r="Y13" s="6">
        <v>12.045757490560675</v>
      </c>
      <c r="Z13" s="6">
        <v>13</v>
      </c>
      <c r="AA13" s="6">
        <v>11</v>
      </c>
      <c r="AB13" s="6">
        <v>12.045757490560675</v>
      </c>
      <c r="AC13" s="6">
        <v>10.045757490560675</v>
      </c>
      <c r="AD13" s="6">
        <v>11</v>
      </c>
      <c r="AE13" s="6">
        <v>9</v>
      </c>
      <c r="AF13" s="6">
        <v>10.045757490560675</v>
      </c>
      <c r="AG13" s="6">
        <v>8.0457574905606748</v>
      </c>
      <c r="AH13" s="6">
        <v>9</v>
      </c>
      <c r="AI13" s="6">
        <v>7</v>
      </c>
      <c r="AJ13" s="6">
        <v>8.0457574905606748</v>
      </c>
      <c r="AK13" s="6">
        <v>6.0457574905606748</v>
      </c>
    </row>
    <row r="14" spans="1:37" x14ac:dyDescent="0.2">
      <c r="A14" s="5">
        <v>10</v>
      </c>
      <c r="B14" s="6">
        <v>15</v>
      </c>
      <c r="C14" s="6">
        <v>12.5</v>
      </c>
      <c r="D14" s="6">
        <v>13.236572006437063</v>
      </c>
      <c r="E14" s="6">
        <v>10.654901959985743</v>
      </c>
      <c r="F14" s="6">
        <v>13</v>
      </c>
      <c r="G14" s="6">
        <v>10.5</v>
      </c>
      <c r="H14" s="6">
        <v>12</v>
      </c>
      <c r="I14" s="6">
        <v>9.5</v>
      </c>
      <c r="J14" s="6">
        <v>11</v>
      </c>
      <c r="K14" s="6">
        <v>8.5</v>
      </c>
      <c r="L14" s="6">
        <v>10</v>
      </c>
      <c r="M14" s="6">
        <v>7.5</v>
      </c>
      <c r="N14" s="6">
        <v>9</v>
      </c>
      <c r="O14" s="6">
        <v>6.5</v>
      </c>
      <c r="P14" s="6">
        <v>8</v>
      </c>
      <c r="Q14" s="6">
        <v>5.5</v>
      </c>
      <c r="R14" s="6">
        <v>7</v>
      </c>
      <c r="S14" s="6">
        <v>4.5</v>
      </c>
      <c r="T14" s="6">
        <v>6</v>
      </c>
      <c r="U14" s="6">
        <v>3.5</v>
      </c>
      <c r="V14" s="6">
        <v>14</v>
      </c>
      <c r="W14" s="6">
        <v>11.5</v>
      </c>
      <c r="X14" s="6">
        <v>13</v>
      </c>
      <c r="Y14" s="6">
        <v>10.5</v>
      </c>
      <c r="Z14" s="6">
        <v>12</v>
      </c>
      <c r="AA14" s="6">
        <v>9.5</v>
      </c>
      <c r="AB14" s="6">
        <v>11</v>
      </c>
      <c r="AC14" s="6">
        <v>8.5</v>
      </c>
      <c r="AD14" s="6">
        <v>10</v>
      </c>
      <c r="AE14" s="6">
        <v>7.5</v>
      </c>
      <c r="AF14" s="6">
        <v>9</v>
      </c>
      <c r="AG14" s="6">
        <v>6.5</v>
      </c>
      <c r="AH14" s="6">
        <v>8</v>
      </c>
      <c r="AI14" s="6">
        <v>5.5</v>
      </c>
      <c r="AJ14" s="6">
        <v>7</v>
      </c>
      <c r="AK14" s="6">
        <v>4.5</v>
      </c>
    </row>
    <row r="15" spans="1:37" x14ac:dyDescent="0.2">
      <c r="A15" s="5">
        <v>11</v>
      </c>
      <c r="B15" s="6">
        <v>14</v>
      </c>
      <c r="C15" s="6">
        <v>11</v>
      </c>
      <c r="D15" s="6">
        <v>12.229147988357855</v>
      </c>
      <c r="E15" s="6">
        <v>9.1487416512809254</v>
      </c>
      <c r="F15" s="6">
        <v>12</v>
      </c>
      <c r="G15" s="6">
        <v>9</v>
      </c>
      <c r="H15" s="6">
        <v>10.958607314841775</v>
      </c>
      <c r="I15" s="6">
        <v>7.9586073148417746</v>
      </c>
      <c r="J15" s="6">
        <v>10</v>
      </c>
      <c r="K15" s="6">
        <v>7</v>
      </c>
      <c r="L15" s="6">
        <v>8.9586073148417746</v>
      </c>
      <c r="M15" s="6">
        <v>5.9586073148417746</v>
      </c>
      <c r="N15" s="6">
        <v>8</v>
      </c>
      <c r="O15" s="6">
        <v>5</v>
      </c>
      <c r="P15" s="6">
        <v>6.9586073148417746</v>
      </c>
      <c r="Q15" s="6">
        <v>3.9586073148417746</v>
      </c>
      <c r="R15" s="6">
        <v>6</v>
      </c>
      <c r="S15" s="6">
        <v>3</v>
      </c>
      <c r="T15" s="6">
        <v>4.9586073148417746</v>
      </c>
      <c r="U15" s="6">
        <v>1.9586073148417749</v>
      </c>
      <c r="V15" s="6">
        <v>13</v>
      </c>
      <c r="W15" s="6">
        <v>10</v>
      </c>
      <c r="X15" s="6">
        <v>11.958607314841775</v>
      </c>
      <c r="Y15" s="6">
        <v>8.9586073148417746</v>
      </c>
      <c r="Z15" s="6">
        <v>11</v>
      </c>
      <c r="AA15" s="6">
        <v>8</v>
      </c>
      <c r="AB15" s="6">
        <v>9.9586073148417746</v>
      </c>
      <c r="AC15" s="6">
        <v>6.9586073148417746</v>
      </c>
      <c r="AD15" s="6">
        <v>9</v>
      </c>
      <c r="AE15" s="6">
        <v>6</v>
      </c>
      <c r="AF15" s="6">
        <v>7.9586073148417746</v>
      </c>
      <c r="AG15" s="6">
        <v>4.9586073148417746</v>
      </c>
      <c r="AH15" s="6">
        <v>7</v>
      </c>
      <c r="AI15" s="6">
        <v>4</v>
      </c>
      <c r="AJ15" s="6">
        <v>5.9586073148417746</v>
      </c>
      <c r="AK15" s="6">
        <v>2.9586073148417746</v>
      </c>
    </row>
    <row r="16" spans="1:37" x14ac:dyDescent="0.2">
      <c r="A16" s="5">
        <v>12</v>
      </c>
      <c r="B16" s="6">
        <v>13</v>
      </c>
      <c r="C16" s="6">
        <v>9.5</v>
      </c>
      <c r="D16" s="6">
        <v>11.221848749616356</v>
      </c>
      <c r="E16" s="6">
        <v>7.642667503568731</v>
      </c>
      <c r="F16" s="6">
        <v>11</v>
      </c>
      <c r="G16" s="6">
        <v>7.5</v>
      </c>
      <c r="H16" s="6">
        <v>9.9208187539523749</v>
      </c>
      <c r="I16" s="6">
        <v>6.4208187539523749</v>
      </c>
      <c r="J16" s="6">
        <v>9</v>
      </c>
      <c r="K16" s="6">
        <v>5.5</v>
      </c>
      <c r="L16" s="6">
        <v>7.9208187539523749</v>
      </c>
      <c r="M16" s="6">
        <v>4.4208187539523749</v>
      </c>
      <c r="N16" s="6">
        <v>7</v>
      </c>
      <c r="O16" s="6">
        <v>3.5</v>
      </c>
      <c r="P16" s="6">
        <v>5.9208187539523749</v>
      </c>
      <c r="Q16" s="6">
        <v>2.4208187539523749</v>
      </c>
      <c r="R16" s="6">
        <v>5</v>
      </c>
      <c r="S16" s="6">
        <v>1.5</v>
      </c>
      <c r="T16" s="6">
        <v>3.9208187539523749</v>
      </c>
      <c r="U16" s="6">
        <v>0.42081875395237511</v>
      </c>
      <c r="V16" s="6">
        <v>12</v>
      </c>
      <c r="W16" s="6">
        <v>8.5</v>
      </c>
      <c r="X16" s="6">
        <v>10.920818753952375</v>
      </c>
      <c r="Y16" s="6">
        <v>7.4208187539523749</v>
      </c>
      <c r="Z16" s="6">
        <v>10</v>
      </c>
      <c r="AA16" s="6">
        <v>6.5</v>
      </c>
      <c r="AB16" s="6">
        <v>8.9208187539523749</v>
      </c>
      <c r="AC16" s="6">
        <v>5.4208187539523749</v>
      </c>
      <c r="AD16" s="6">
        <v>8</v>
      </c>
      <c r="AE16" s="6">
        <v>4.5</v>
      </c>
      <c r="AF16" s="6">
        <v>6.9208187539523749</v>
      </c>
      <c r="AG16" s="6">
        <v>3.4208187539523749</v>
      </c>
      <c r="AH16" s="6">
        <v>6</v>
      </c>
      <c r="AI16" s="6">
        <v>2.5</v>
      </c>
      <c r="AJ16" s="6">
        <v>4.9208187539523749</v>
      </c>
      <c r="AK16" s="6">
        <v>1.4208187539523751</v>
      </c>
    </row>
  </sheetData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7FC27-71AA-43AA-B599-AA99169EA648}">
  <sheetPr codeName="Sheet2"/>
  <dimension ref="A1:G1729"/>
  <sheetViews>
    <sheetView tabSelected="1" topLeftCell="A844" zoomScale="70" zoomScaleNormal="70" workbookViewId="0">
      <selection activeCell="O858" sqref="O858"/>
    </sheetView>
  </sheetViews>
  <sheetFormatPr baseColWidth="10" defaultColWidth="8.83203125" defaultRowHeight="15" x14ac:dyDescent="0.2"/>
  <sheetData>
    <row r="1" spans="1:7" ht="16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11</v>
      </c>
      <c r="G1" s="1" t="s">
        <v>18</v>
      </c>
    </row>
    <row r="2" spans="1:7" x14ac:dyDescent="0.2">
      <c r="A2">
        <v>1</v>
      </c>
      <c r="B2" t="s">
        <v>5</v>
      </c>
      <c r="C2">
        <f>IF(data!$B2&lt;&gt;data!$B1,1,C1+1)</f>
        <v>1</v>
      </c>
      <c r="D2">
        <v>24</v>
      </c>
      <c r="E2" t="s">
        <v>7</v>
      </c>
      <c r="F2" t="s">
        <v>14</v>
      </c>
      <c r="G2">
        <v>50</v>
      </c>
    </row>
    <row r="3" spans="1:7" x14ac:dyDescent="0.2">
      <c r="A3">
        <f t="shared" ref="A3:A34" si="0">IF(B3=B2,A2,A2+1)</f>
        <v>1</v>
      </c>
      <c r="B3" t="s">
        <v>5</v>
      </c>
      <c r="C3">
        <f>IF(data!$B3&lt;&gt;data!$B2,1,C2+1)</f>
        <v>2</v>
      </c>
      <c r="D3">
        <v>23</v>
      </c>
      <c r="E3" t="s">
        <v>7</v>
      </c>
      <c r="F3" t="s">
        <v>14</v>
      </c>
      <c r="G3">
        <v>50</v>
      </c>
    </row>
    <row r="4" spans="1:7" x14ac:dyDescent="0.2">
      <c r="A4">
        <f t="shared" si="0"/>
        <v>1</v>
      </c>
      <c r="B4" t="s">
        <v>5</v>
      </c>
      <c r="C4">
        <f>IF(data!$B4&lt;&gt;data!$B3,1,C3+1)</f>
        <v>3</v>
      </c>
      <c r="D4">
        <v>22</v>
      </c>
      <c r="E4" t="s">
        <v>7</v>
      </c>
      <c r="F4" t="s">
        <v>14</v>
      </c>
      <c r="G4">
        <v>50</v>
      </c>
    </row>
    <row r="5" spans="1:7" x14ac:dyDescent="0.2">
      <c r="A5">
        <f t="shared" si="0"/>
        <v>1</v>
      </c>
      <c r="B5" t="s">
        <v>5</v>
      </c>
      <c r="C5">
        <f>IF(data!$B5&lt;&gt;data!$B4,1,C4+1)</f>
        <v>4</v>
      </c>
      <c r="D5">
        <v>21</v>
      </c>
      <c r="E5" t="s">
        <v>7</v>
      </c>
      <c r="F5" t="s">
        <v>14</v>
      </c>
      <c r="G5">
        <v>50</v>
      </c>
    </row>
    <row r="6" spans="1:7" x14ac:dyDescent="0.2">
      <c r="A6">
        <f t="shared" si="0"/>
        <v>1</v>
      </c>
      <c r="B6" t="s">
        <v>5</v>
      </c>
      <c r="C6">
        <f>IF(data!$B6&lt;&gt;data!$B5,1,C5+1)</f>
        <v>5</v>
      </c>
      <c r="D6">
        <v>20</v>
      </c>
      <c r="E6" t="s">
        <v>7</v>
      </c>
      <c r="F6" t="s">
        <v>14</v>
      </c>
      <c r="G6">
        <v>50</v>
      </c>
    </row>
    <row r="7" spans="1:7" x14ac:dyDescent="0.2">
      <c r="A7">
        <f t="shared" si="0"/>
        <v>1</v>
      </c>
      <c r="B7" t="s">
        <v>5</v>
      </c>
      <c r="C7">
        <f>IF(data!$B7&lt;&gt;data!$B6,1,C6+1)</f>
        <v>6</v>
      </c>
      <c r="D7">
        <v>19</v>
      </c>
      <c r="E7" t="s">
        <v>7</v>
      </c>
      <c r="F7" t="s">
        <v>14</v>
      </c>
      <c r="G7">
        <v>50</v>
      </c>
    </row>
    <row r="8" spans="1:7" x14ac:dyDescent="0.2">
      <c r="A8">
        <f t="shared" si="0"/>
        <v>1</v>
      </c>
      <c r="B8" t="s">
        <v>5</v>
      </c>
      <c r="C8">
        <f>IF(data!$B8&lt;&gt;data!$B7,1,C7+1)</f>
        <v>7</v>
      </c>
      <c r="D8">
        <v>18</v>
      </c>
      <c r="E8" t="s">
        <v>7</v>
      </c>
      <c r="F8" t="s">
        <v>14</v>
      </c>
      <c r="G8">
        <v>50</v>
      </c>
    </row>
    <row r="9" spans="1:7" x14ac:dyDescent="0.2">
      <c r="A9">
        <f t="shared" si="0"/>
        <v>1</v>
      </c>
      <c r="B9" t="s">
        <v>5</v>
      </c>
      <c r="C9">
        <f>IF(data!$B9&lt;&gt;data!$B8,1,C8+1)</f>
        <v>8</v>
      </c>
      <c r="D9">
        <v>17</v>
      </c>
      <c r="E9" t="s">
        <v>7</v>
      </c>
      <c r="F9" t="s">
        <v>14</v>
      </c>
      <c r="G9">
        <v>50</v>
      </c>
    </row>
    <row r="10" spans="1:7" x14ac:dyDescent="0.2">
      <c r="A10">
        <f t="shared" si="0"/>
        <v>1</v>
      </c>
      <c r="B10" t="s">
        <v>5</v>
      </c>
      <c r="C10">
        <f>IF(data!$B10&lt;&gt;data!$B9,1,C9+1)</f>
        <v>9</v>
      </c>
      <c r="D10">
        <v>16</v>
      </c>
      <c r="E10" t="s">
        <v>7</v>
      </c>
      <c r="F10" t="s">
        <v>14</v>
      </c>
      <c r="G10">
        <v>50</v>
      </c>
    </row>
    <row r="11" spans="1:7" x14ac:dyDescent="0.2">
      <c r="A11">
        <f t="shared" si="0"/>
        <v>1</v>
      </c>
      <c r="B11" t="s">
        <v>5</v>
      </c>
      <c r="C11">
        <f>IF(data!$B11&lt;&gt;data!$B10,1,C10+1)</f>
        <v>10</v>
      </c>
      <c r="D11">
        <v>15</v>
      </c>
      <c r="E11" t="s">
        <v>7</v>
      </c>
      <c r="F11" t="s">
        <v>14</v>
      </c>
      <c r="G11">
        <v>50</v>
      </c>
    </row>
    <row r="12" spans="1:7" x14ac:dyDescent="0.2">
      <c r="A12">
        <f t="shared" si="0"/>
        <v>1</v>
      </c>
      <c r="B12" t="s">
        <v>5</v>
      </c>
      <c r="C12">
        <f>IF(data!$B12&lt;&gt;data!$B11,1,C11+1)</f>
        <v>11</v>
      </c>
      <c r="D12">
        <v>14</v>
      </c>
      <c r="E12" t="s">
        <v>7</v>
      </c>
      <c r="F12" t="s">
        <v>14</v>
      </c>
      <c r="G12">
        <v>50</v>
      </c>
    </row>
    <row r="13" spans="1:7" x14ac:dyDescent="0.2">
      <c r="A13">
        <f t="shared" si="0"/>
        <v>1</v>
      </c>
      <c r="B13" t="s">
        <v>5</v>
      </c>
      <c r="C13">
        <f>IF(data!$B13&lt;&gt;data!$B12,1,C12+1)</f>
        <v>12</v>
      </c>
      <c r="D13">
        <v>13</v>
      </c>
      <c r="E13" t="s">
        <v>7</v>
      </c>
      <c r="F13" t="s">
        <v>14</v>
      </c>
      <c r="G13">
        <v>50</v>
      </c>
    </row>
    <row r="14" spans="1:7" x14ac:dyDescent="0.2">
      <c r="A14">
        <f t="shared" si="0"/>
        <v>2</v>
      </c>
      <c r="B14" t="s">
        <v>6</v>
      </c>
      <c r="C14">
        <f>IF(data!$B14&lt;&gt;data!$B13,1,C13+1)</f>
        <v>1</v>
      </c>
      <c r="D14">
        <v>26</v>
      </c>
      <c r="E14" t="s">
        <v>7</v>
      </c>
      <c r="F14" t="s">
        <v>14</v>
      </c>
      <c r="G14">
        <v>50</v>
      </c>
    </row>
    <row r="15" spans="1:7" x14ac:dyDescent="0.2">
      <c r="A15">
        <f t="shared" si="0"/>
        <v>2</v>
      </c>
      <c r="B15" t="s">
        <v>6</v>
      </c>
      <c r="C15">
        <f>IF(data!$B15&lt;&gt;data!$B14,1,C14+1)</f>
        <v>2</v>
      </c>
      <c r="D15">
        <v>24.5</v>
      </c>
      <c r="E15" t="s">
        <v>7</v>
      </c>
      <c r="F15" t="s">
        <v>14</v>
      </c>
      <c r="G15">
        <v>50</v>
      </c>
    </row>
    <row r="16" spans="1:7" x14ac:dyDescent="0.2">
      <c r="A16">
        <f t="shared" si="0"/>
        <v>2</v>
      </c>
      <c r="B16" t="s">
        <v>6</v>
      </c>
      <c r="C16">
        <f>IF(data!$B16&lt;&gt;data!$B15,1,C15+1)</f>
        <v>3</v>
      </c>
      <c r="D16">
        <v>23</v>
      </c>
      <c r="E16" t="s">
        <v>7</v>
      </c>
      <c r="F16" t="s">
        <v>14</v>
      </c>
      <c r="G16">
        <v>50</v>
      </c>
    </row>
    <row r="17" spans="1:7" x14ac:dyDescent="0.2">
      <c r="A17">
        <f t="shared" si="0"/>
        <v>2</v>
      </c>
      <c r="B17" t="s">
        <v>6</v>
      </c>
      <c r="C17">
        <f>IF(data!$B17&lt;&gt;data!$B16,1,C16+1)</f>
        <v>4</v>
      </c>
      <c r="D17">
        <v>21.5</v>
      </c>
      <c r="E17" t="s">
        <v>7</v>
      </c>
      <c r="F17" t="s">
        <v>14</v>
      </c>
      <c r="G17">
        <v>50</v>
      </c>
    </row>
    <row r="18" spans="1:7" x14ac:dyDescent="0.2">
      <c r="A18">
        <f t="shared" si="0"/>
        <v>2</v>
      </c>
      <c r="B18" t="s">
        <v>6</v>
      </c>
      <c r="C18">
        <f>IF(data!$B18&lt;&gt;data!$B17,1,C17+1)</f>
        <v>5</v>
      </c>
      <c r="D18">
        <v>20</v>
      </c>
      <c r="E18" t="s">
        <v>7</v>
      </c>
      <c r="F18" t="s">
        <v>14</v>
      </c>
      <c r="G18">
        <v>50</v>
      </c>
    </row>
    <row r="19" spans="1:7" x14ac:dyDescent="0.2">
      <c r="A19">
        <f t="shared" si="0"/>
        <v>2</v>
      </c>
      <c r="B19" t="s">
        <v>6</v>
      </c>
      <c r="C19">
        <f>IF(data!$B19&lt;&gt;data!$B18,1,C18+1)</f>
        <v>6</v>
      </c>
      <c r="D19">
        <v>18.5</v>
      </c>
      <c r="E19" t="s">
        <v>7</v>
      </c>
      <c r="F19" t="s">
        <v>14</v>
      </c>
      <c r="G19">
        <v>50</v>
      </c>
    </row>
    <row r="20" spans="1:7" x14ac:dyDescent="0.2">
      <c r="A20">
        <f t="shared" si="0"/>
        <v>2</v>
      </c>
      <c r="B20" t="s">
        <v>6</v>
      </c>
      <c r="C20">
        <f>IF(data!$B20&lt;&gt;data!$B19,1,C19+1)</f>
        <v>7</v>
      </c>
      <c r="D20">
        <v>17</v>
      </c>
      <c r="E20" t="s">
        <v>7</v>
      </c>
      <c r="F20" t="s">
        <v>14</v>
      </c>
      <c r="G20">
        <v>50</v>
      </c>
    </row>
    <row r="21" spans="1:7" x14ac:dyDescent="0.2">
      <c r="A21">
        <f t="shared" si="0"/>
        <v>2</v>
      </c>
      <c r="B21" t="s">
        <v>6</v>
      </c>
      <c r="C21">
        <f>IF(data!$B21&lt;&gt;data!$B20,1,C20+1)</f>
        <v>8</v>
      </c>
      <c r="D21">
        <v>15.5</v>
      </c>
      <c r="E21" t="s">
        <v>7</v>
      </c>
      <c r="F21" t="s">
        <v>14</v>
      </c>
      <c r="G21">
        <v>50</v>
      </c>
    </row>
    <row r="22" spans="1:7" x14ac:dyDescent="0.2">
      <c r="A22">
        <f t="shared" si="0"/>
        <v>2</v>
      </c>
      <c r="B22" t="s">
        <v>6</v>
      </c>
      <c r="C22">
        <f>IF(data!$B22&lt;&gt;data!$B21,1,C21+1)</f>
        <v>9</v>
      </c>
      <c r="D22">
        <v>14</v>
      </c>
      <c r="E22" t="s">
        <v>7</v>
      </c>
      <c r="F22" t="s">
        <v>14</v>
      </c>
      <c r="G22">
        <v>50</v>
      </c>
    </row>
    <row r="23" spans="1:7" x14ac:dyDescent="0.2">
      <c r="A23">
        <f t="shared" si="0"/>
        <v>2</v>
      </c>
      <c r="B23" t="s">
        <v>6</v>
      </c>
      <c r="C23">
        <f>IF(data!$B23&lt;&gt;data!$B22,1,C22+1)</f>
        <v>10</v>
      </c>
      <c r="D23">
        <v>12.5</v>
      </c>
      <c r="E23" t="s">
        <v>7</v>
      </c>
      <c r="F23" t="s">
        <v>14</v>
      </c>
      <c r="G23">
        <v>50</v>
      </c>
    </row>
    <row r="24" spans="1:7" x14ac:dyDescent="0.2">
      <c r="A24">
        <f t="shared" si="0"/>
        <v>2</v>
      </c>
      <c r="B24" t="s">
        <v>6</v>
      </c>
      <c r="C24">
        <f>IF(data!$B24&lt;&gt;data!$B23,1,C23+1)</f>
        <v>11</v>
      </c>
      <c r="D24">
        <v>11</v>
      </c>
      <c r="E24" t="s">
        <v>7</v>
      </c>
      <c r="F24" t="s">
        <v>14</v>
      </c>
      <c r="G24">
        <v>50</v>
      </c>
    </row>
    <row r="25" spans="1:7" x14ac:dyDescent="0.2">
      <c r="A25">
        <f t="shared" si="0"/>
        <v>2</v>
      </c>
      <c r="B25" t="s">
        <v>6</v>
      </c>
      <c r="C25">
        <f>IF(data!$B25&lt;&gt;data!$B24,1,C24+1)</f>
        <v>12</v>
      </c>
      <c r="D25">
        <v>9.5</v>
      </c>
      <c r="E25" t="s">
        <v>7</v>
      </c>
      <c r="F25" t="s">
        <v>14</v>
      </c>
      <c r="G25">
        <v>50</v>
      </c>
    </row>
    <row r="26" spans="1:7" x14ac:dyDescent="0.2">
      <c r="A26">
        <f t="shared" si="0"/>
        <v>3</v>
      </c>
      <c r="B26" t="s">
        <v>5</v>
      </c>
      <c r="C26">
        <f>IF(data!$B26&lt;&gt;data!$B25,1,C25+1)</f>
        <v>1</v>
      </c>
      <c r="D26">
        <v>25</v>
      </c>
      <c r="E26" t="s">
        <v>13</v>
      </c>
      <c r="F26" t="s">
        <v>14</v>
      </c>
      <c r="G26">
        <v>50</v>
      </c>
    </row>
    <row r="27" spans="1:7" x14ac:dyDescent="0.2">
      <c r="A27">
        <f t="shared" si="0"/>
        <v>3</v>
      </c>
      <c r="B27" t="s">
        <v>5</v>
      </c>
      <c r="C27">
        <f>IF(data!$B27&lt;&gt;data!$B26,1,C26+1)</f>
        <v>2</v>
      </c>
      <c r="D27">
        <v>24.5</v>
      </c>
      <c r="E27" t="s">
        <v>13</v>
      </c>
      <c r="F27" t="s">
        <v>14</v>
      </c>
      <c r="G27">
        <v>50</v>
      </c>
    </row>
    <row r="28" spans="1:7" x14ac:dyDescent="0.2">
      <c r="A28">
        <f t="shared" si="0"/>
        <v>3</v>
      </c>
      <c r="B28" t="s">
        <v>5</v>
      </c>
      <c r="C28">
        <f>IF(data!$B28&lt;&gt;data!$B27,1,C27+1)</f>
        <v>3</v>
      </c>
      <c r="D28">
        <v>24</v>
      </c>
      <c r="E28" t="s">
        <v>13</v>
      </c>
      <c r="F28" t="s">
        <v>14</v>
      </c>
      <c r="G28">
        <v>50</v>
      </c>
    </row>
    <row r="29" spans="1:7" x14ac:dyDescent="0.2">
      <c r="A29">
        <f t="shared" si="0"/>
        <v>3</v>
      </c>
      <c r="B29" t="s">
        <v>5</v>
      </c>
      <c r="C29">
        <f>IF(data!$B29&lt;&gt;data!$B28,1,C28+1)</f>
        <v>4</v>
      </c>
      <c r="D29">
        <v>23.5</v>
      </c>
      <c r="E29" t="s">
        <v>13</v>
      </c>
      <c r="F29" t="s">
        <v>14</v>
      </c>
      <c r="G29">
        <v>50</v>
      </c>
    </row>
    <row r="30" spans="1:7" x14ac:dyDescent="0.2">
      <c r="A30">
        <f t="shared" si="0"/>
        <v>3</v>
      </c>
      <c r="B30" t="s">
        <v>5</v>
      </c>
      <c r="C30">
        <f>IF(data!$B30&lt;&gt;data!$B29,1,C29+1)</f>
        <v>5</v>
      </c>
      <c r="D30">
        <v>23</v>
      </c>
      <c r="E30" t="s">
        <v>13</v>
      </c>
      <c r="F30" t="s">
        <v>14</v>
      </c>
      <c r="G30">
        <v>50</v>
      </c>
    </row>
    <row r="31" spans="1:7" x14ac:dyDescent="0.2">
      <c r="A31">
        <f t="shared" si="0"/>
        <v>3</v>
      </c>
      <c r="B31" t="s">
        <v>5</v>
      </c>
      <c r="C31">
        <f>IF(data!$B31&lt;&gt;data!$B30,1,C30+1)</f>
        <v>6</v>
      </c>
      <c r="D31">
        <v>22.5</v>
      </c>
      <c r="E31" t="s">
        <v>13</v>
      </c>
      <c r="F31" t="s">
        <v>14</v>
      </c>
      <c r="G31">
        <v>50</v>
      </c>
    </row>
    <row r="32" spans="1:7" x14ac:dyDescent="0.2">
      <c r="A32">
        <f t="shared" si="0"/>
        <v>3</v>
      </c>
      <c r="B32" t="s">
        <v>5</v>
      </c>
      <c r="C32">
        <f>IF(data!$B32&lt;&gt;data!$B31,1,C31+1)</f>
        <v>7</v>
      </c>
      <c r="D32">
        <v>22</v>
      </c>
      <c r="E32" t="s">
        <v>13</v>
      </c>
      <c r="F32" t="s">
        <v>14</v>
      </c>
      <c r="G32">
        <v>50</v>
      </c>
    </row>
    <row r="33" spans="1:7" x14ac:dyDescent="0.2">
      <c r="A33">
        <f t="shared" si="0"/>
        <v>3</v>
      </c>
      <c r="B33" t="s">
        <v>5</v>
      </c>
      <c r="C33">
        <f>IF(data!$B33&lt;&gt;data!$B32,1,C32+1)</f>
        <v>8</v>
      </c>
      <c r="D33">
        <v>21.5</v>
      </c>
      <c r="E33" t="s">
        <v>13</v>
      </c>
      <c r="F33" t="s">
        <v>14</v>
      </c>
      <c r="G33">
        <v>50</v>
      </c>
    </row>
    <row r="34" spans="1:7" x14ac:dyDescent="0.2">
      <c r="A34">
        <f t="shared" si="0"/>
        <v>3</v>
      </c>
      <c r="B34" t="s">
        <v>5</v>
      </c>
      <c r="C34">
        <f>IF(data!$B34&lt;&gt;data!$B33,1,C33+1)</f>
        <v>9</v>
      </c>
      <c r="D34">
        <v>21</v>
      </c>
      <c r="E34" t="s">
        <v>13</v>
      </c>
      <c r="F34" t="s">
        <v>14</v>
      </c>
      <c r="G34">
        <v>50</v>
      </c>
    </row>
    <row r="35" spans="1:7" x14ac:dyDescent="0.2">
      <c r="A35">
        <f t="shared" ref="A35:A66" si="1">IF(B35=B34,A34,A34+1)</f>
        <v>3</v>
      </c>
      <c r="B35" t="s">
        <v>5</v>
      </c>
      <c r="C35">
        <f>IF(data!$B35&lt;&gt;data!$B34,1,C34+1)</f>
        <v>10</v>
      </c>
      <c r="D35">
        <v>20.5</v>
      </c>
      <c r="E35" t="s">
        <v>13</v>
      </c>
      <c r="F35" t="s">
        <v>14</v>
      </c>
      <c r="G35">
        <v>50</v>
      </c>
    </row>
    <row r="36" spans="1:7" x14ac:dyDescent="0.2">
      <c r="A36">
        <f t="shared" si="1"/>
        <v>3</v>
      </c>
      <c r="B36" t="s">
        <v>5</v>
      </c>
      <c r="C36">
        <f>IF(data!$B36&lt;&gt;data!$B35,1,C35+1)</f>
        <v>11</v>
      </c>
      <c r="D36">
        <v>20</v>
      </c>
      <c r="E36" t="s">
        <v>13</v>
      </c>
      <c r="F36" t="s">
        <v>14</v>
      </c>
      <c r="G36">
        <v>50</v>
      </c>
    </row>
    <row r="37" spans="1:7" x14ac:dyDescent="0.2">
      <c r="A37">
        <f t="shared" si="1"/>
        <v>3</v>
      </c>
      <c r="B37" t="s">
        <v>5</v>
      </c>
      <c r="C37">
        <f>IF(data!$B37&lt;&gt;data!$B36,1,C36+1)</f>
        <v>12</v>
      </c>
      <c r="D37">
        <v>19.5</v>
      </c>
      <c r="E37" t="s">
        <v>13</v>
      </c>
      <c r="F37" t="s">
        <v>14</v>
      </c>
      <c r="G37">
        <v>50</v>
      </c>
    </row>
    <row r="38" spans="1:7" x14ac:dyDescent="0.2">
      <c r="A38">
        <f t="shared" si="1"/>
        <v>4</v>
      </c>
      <c r="B38" t="s">
        <v>6</v>
      </c>
      <c r="C38">
        <f>IF(data!$B38&lt;&gt;data!$B37,1,C37+1)</f>
        <v>1</v>
      </c>
      <c r="D38">
        <v>27</v>
      </c>
      <c r="E38" t="s">
        <v>13</v>
      </c>
      <c r="F38" t="s">
        <v>14</v>
      </c>
      <c r="G38">
        <v>50</v>
      </c>
    </row>
    <row r="39" spans="1:7" x14ac:dyDescent="0.2">
      <c r="A39">
        <f t="shared" si="1"/>
        <v>4</v>
      </c>
      <c r="B39" t="s">
        <v>6</v>
      </c>
      <c r="C39">
        <f>IF(data!$B39&lt;&gt;data!$B38,1,C38+1)</f>
        <v>2</v>
      </c>
      <c r="D39">
        <v>25.8</v>
      </c>
      <c r="E39" t="s">
        <v>13</v>
      </c>
      <c r="F39" t="s">
        <v>14</v>
      </c>
      <c r="G39">
        <v>50</v>
      </c>
    </row>
    <row r="40" spans="1:7" x14ac:dyDescent="0.2">
      <c r="A40">
        <f t="shared" si="1"/>
        <v>4</v>
      </c>
      <c r="B40" t="s">
        <v>6</v>
      </c>
      <c r="C40">
        <f>IF(data!$B40&lt;&gt;data!$B39,1,C39+1)</f>
        <v>3</v>
      </c>
      <c r="D40">
        <v>24.6</v>
      </c>
      <c r="E40" t="s">
        <v>13</v>
      </c>
      <c r="F40" t="s">
        <v>14</v>
      </c>
      <c r="G40">
        <v>50</v>
      </c>
    </row>
    <row r="41" spans="1:7" x14ac:dyDescent="0.2">
      <c r="A41">
        <f t="shared" si="1"/>
        <v>4</v>
      </c>
      <c r="B41" t="s">
        <v>6</v>
      </c>
      <c r="C41">
        <f>IF(data!$B41&lt;&gt;data!$B40,1,C40+1)</f>
        <v>4</v>
      </c>
      <c r="D41">
        <v>23.400000000000002</v>
      </c>
      <c r="E41" t="s">
        <v>13</v>
      </c>
      <c r="F41" t="s">
        <v>14</v>
      </c>
      <c r="G41">
        <v>50</v>
      </c>
    </row>
    <row r="42" spans="1:7" x14ac:dyDescent="0.2">
      <c r="A42">
        <f t="shared" si="1"/>
        <v>4</v>
      </c>
      <c r="B42" t="s">
        <v>6</v>
      </c>
      <c r="C42">
        <f>IF(data!$B42&lt;&gt;data!$B41,1,C41+1)</f>
        <v>5</v>
      </c>
      <c r="D42">
        <v>22.200000000000003</v>
      </c>
      <c r="E42" t="s">
        <v>13</v>
      </c>
      <c r="F42" t="s">
        <v>14</v>
      </c>
      <c r="G42">
        <v>50</v>
      </c>
    </row>
    <row r="43" spans="1:7" x14ac:dyDescent="0.2">
      <c r="A43">
        <f t="shared" si="1"/>
        <v>4</v>
      </c>
      <c r="B43" t="s">
        <v>6</v>
      </c>
      <c r="C43">
        <f>IF(data!$B43&lt;&gt;data!$B42,1,C42+1)</f>
        <v>6</v>
      </c>
      <c r="D43">
        <v>21.000000000000004</v>
      </c>
      <c r="E43" t="s">
        <v>13</v>
      </c>
      <c r="F43" t="s">
        <v>14</v>
      </c>
      <c r="G43">
        <v>50</v>
      </c>
    </row>
    <row r="44" spans="1:7" x14ac:dyDescent="0.2">
      <c r="A44">
        <f t="shared" si="1"/>
        <v>4</v>
      </c>
      <c r="B44" t="s">
        <v>6</v>
      </c>
      <c r="C44">
        <f>IF(data!$B44&lt;&gt;data!$B43,1,C43+1)</f>
        <v>7</v>
      </c>
      <c r="D44">
        <v>19.800000000000004</v>
      </c>
      <c r="E44" t="s">
        <v>13</v>
      </c>
      <c r="F44" t="s">
        <v>14</v>
      </c>
      <c r="G44">
        <v>50</v>
      </c>
    </row>
    <row r="45" spans="1:7" x14ac:dyDescent="0.2">
      <c r="A45">
        <f t="shared" si="1"/>
        <v>4</v>
      </c>
      <c r="B45" t="s">
        <v>6</v>
      </c>
      <c r="C45">
        <f>IF(data!$B45&lt;&gt;data!$B44,1,C44+1)</f>
        <v>8</v>
      </c>
      <c r="D45">
        <v>18.600000000000005</v>
      </c>
      <c r="E45" t="s">
        <v>13</v>
      </c>
      <c r="F45" t="s">
        <v>14</v>
      </c>
      <c r="G45">
        <v>50</v>
      </c>
    </row>
    <row r="46" spans="1:7" x14ac:dyDescent="0.2">
      <c r="A46">
        <f t="shared" si="1"/>
        <v>4</v>
      </c>
      <c r="B46" t="s">
        <v>6</v>
      </c>
      <c r="C46">
        <f>IF(data!$B46&lt;&gt;data!$B45,1,C45+1)</f>
        <v>9</v>
      </c>
      <c r="D46">
        <v>17.400000000000006</v>
      </c>
      <c r="E46" t="s">
        <v>13</v>
      </c>
      <c r="F46" t="s">
        <v>14</v>
      </c>
      <c r="G46">
        <v>50</v>
      </c>
    </row>
    <row r="47" spans="1:7" x14ac:dyDescent="0.2">
      <c r="A47">
        <f t="shared" si="1"/>
        <v>4</v>
      </c>
      <c r="B47" t="s">
        <v>6</v>
      </c>
      <c r="C47">
        <f>IF(data!$B47&lt;&gt;data!$B46,1,C46+1)</f>
        <v>10</v>
      </c>
      <c r="D47">
        <v>16.200000000000006</v>
      </c>
      <c r="E47" t="s">
        <v>13</v>
      </c>
      <c r="F47" t="s">
        <v>14</v>
      </c>
      <c r="G47">
        <v>50</v>
      </c>
    </row>
    <row r="48" spans="1:7" x14ac:dyDescent="0.2">
      <c r="A48">
        <f t="shared" si="1"/>
        <v>4</v>
      </c>
      <c r="B48" t="s">
        <v>6</v>
      </c>
      <c r="C48">
        <f>IF(data!$B48&lt;&gt;data!$B47,1,C47+1)</f>
        <v>11</v>
      </c>
      <c r="D48">
        <v>15.000000000000007</v>
      </c>
      <c r="E48" t="s">
        <v>13</v>
      </c>
      <c r="F48" t="s">
        <v>14</v>
      </c>
      <c r="G48">
        <v>50</v>
      </c>
    </row>
    <row r="49" spans="1:7" x14ac:dyDescent="0.2">
      <c r="A49">
        <f t="shared" si="1"/>
        <v>4</v>
      </c>
      <c r="B49" t="s">
        <v>6</v>
      </c>
      <c r="C49">
        <f>IF(data!$B49&lt;&gt;data!$B48,1,C48+1)</f>
        <v>12</v>
      </c>
      <c r="D49">
        <v>13.800000000000008</v>
      </c>
      <c r="E49" t="s">
        <v>13</v>
      </c>
      <c r="F49" t="s">
        <v>14</v>
      </c>
      <c r="G49">
        <v>50</v>
      </c>
    </row>
    <row r="50" spans="1:7" x14ac:dyDescent="0.2">
      <c r="A50">
        <f t="shared" si="1"/>
        <v>5</v>
      </c>
      <c r="B50" t="s">
        <v>5</v>
      </c>
      <c r="C50">
        <f>IF(data!$B50&lt;&gt;data!$B49,1,C49+1)</f>
        <v>1</v>
      </c>
      <c r="D50">
        <v>24</v>
      </c>
      <c r="E50" t="s">
        <v>7</v>
      </c>
      <c r="F50" t="s">
        <v>12</v>
      </c>
      <c r="G50">
        <v>50</v>
      </c>
    </row>
    <row r="51" spans="1:7" x14ac:dyDescent="0.2">
      <c r="A51">
        <f t="shared" si="1"/>
        <v>5</v>
      </c>
      <c r="B51" t="s">
        <v>5</v>
      </c>
      <c r="C51">
        <f>IF(data!$B51&lt;&gt;data!$B50,1,C50+1)</f>
        <v>2</v>
      </c>
      <c r="D51">
        <v>21.301029995663981</v>
      </c>
      <c r="E51" t="s">
        <v>7</v>
      </c>
      <c r="F51" t="s">
        <v>12</v>
      </c>
      <c r="G51">
        <v>50</v>
      </c>
    </row>
    <row r="52" spans="1:7" x14ac:dyDescent="0.2">
      <c r="A52">
        <f t="shared" si="1"/>
        <v>5</v>
      </c>
      <c r="B52" t="s">
        <v>5</v>
      </c>
      <c r="C52">
        <f>IF(data!$B52&lt;&gt;data!$B51,1,C51+1)</f>
        <v>3</v>
      </c>
      <c r="D52">
        <v>20.292429823902065</v>
      </c>
      <c r="E52" t="s">
        <v>7</v>
      </c>
      <c r="F52" t="s">
        <v>12</v>
      </c>
      <c r="G52">
        <v>50</v>
      </c>
    </row>
    <row r="53" spans="1:7" x14ac:dyDescent="0.2">
      <c r="A53">
        <f t="shared" si="1"/>
        <v>5</v>
      </c>
      <c r="B53" t="s">
        <v>5</v>
      </c>
      <c r="C53">
        <f>IF(data!$B53&lt;&gt;data!$B52,1,C52+1)</f>
        <v>4</v>
      </c>
      <c r="D53">
        <v>19.283996656365201</v>
      </c>
      <c r="E53" t="s">
        <v>7</v>
      </c>
      <c r="F53" t="s">
        <v>12</v>
      </c>
      <c r="G53">
        <v>50</v>
      </c>
    </row>
    <row r="54" spans="1:7" x14ac:dyDescent="0.2">
      <c r="A54">
        <f t="shared" si="1"/>
        <v>5</v>
      </c>
      <c r="B54" t="s">
        <v>5</v>
      </c>
      <c r="C54">
        <f>IF(data!$B54&lt;&gt;data!$B53,1,C53+1)</f>
        <v>5</v>
      </c>
      <c r="D54">
        <v>18.275724130399212</v>
      </c>
      <c r="E54" t="s">
        <v>7</v>
      </c>
      <c r="F54" t="s">
        <v>12</v>
      </c>
      <c r="G54">
        <v>50</v>
      </c>
    </row>
    <row r="55" spans="1:7" x14ac:dyDescent="0.2">
      <c r="A55">
        <f t="shared" si="1"/>
        <v>5</v>
      </c>
      <c r="B55" t="s">
        <v>5</v>
      </c>
      <c r="C55">
        <f>IF(data!$B55&lt;&gt;data!$B54,1,C54+1)</f>
        <v>6</v>
      </c>
      <c r="D55">
        <v>17.267606240177031</v>
      </c>
      <c r="E55" t="s">
        <v>7</v>
      </c>
      <c r="F55" t="s">
        <v>12</v>
      </c>
      <c r="G55">
        <v>50</v>
      </c>
    </row>
    <row r="56" spans="1:7" x14ac:dyDescent="0.2">
      <c r="A56">
        <f t="shared" si="1"/>
        <v>5</v>
      </c>
      <c r="B56" t="s">
        <v>5</v>
      </c>
      <c r="C56">
        <f>IF(data!$B56&lt;&gt;data!$B55,1,C55+1)</f>
        <v>7</v>
      </c>
      <c r="D56">
        <v>16.259637310505756</v>
      </c>
      <c r="E56" t="s">
        <v>7</v>
      </c>
      <c r="F56" t="s">
        <v>12</v>
      </c>
      <c r="G56">
        <v>50</v>
      </c>
    </row>
    <row r="57" spans="1:7" x14ac:dyDescent="0.2">
      <c r="A57">
        <f t="shared" si="1"/>
        <v>5</v>
      </c>
      <c r="B57" t="s">
        <v>5</v>
      </c>
      <c r="C57">
        <f>IF(data!$B57&lt;&gt;data!$B56,1,C56+1)</f>
        <v>8</v>
      </c>
      <c r="D57">
        <v>15.251811972993799</v>
      </c>
      <c r="E57" t="s">
        <v>7</v>
      </c>
      <c r="F57" t="s">
        <v>12</v>
      </c>
      <c r="G57">
        <v>50</v>
      </c>
    </row>
    <row r="58" spans="1:7" x14ac:dyDescent="0.2">
      <c r="A58">
        <f t="shared" si="1"/>
        <v>5</v>
      </c>
      <c r="B58" t="s">
        <v>5</v>
      </c>
      <c r="C58">
        <f>IF(data!$B58&lt;&gt;data!$B57,1,C57+1)</f>
        <v>9</v>
      </c>
      <c r="D58">
        <v>14.244125144327509</v>
      </c>
      <c r="E58" t="s">
        <v>7</v>
      </c>
      <c r="F58" t="s">
        <v>12</v>
      </c>
      <c r="G58">
        <v>50</v>
      </c>
    </row>
    <row r="59" spans="1:7" x14ac:dyDescent="0.2">
      <c r="A59">
        <f t="shared" si="1"/>
        <v>5</v>
      </c>
      <c r="B59" t="s">
        <v>5</v>
      </c>
      <c r="C59">
        <f>IF(data!$B59&lt;&gt;data!$B58,1,C58+1)</f>
        <v>10</v>
      </c>
      <c r="D59">
        <v>13.236572006437063</v>
      </c>
      <c r="E59" t="s">
        <v>7</v>
      </c>
      <c r="F59" t="s">
        <v>12</v>
      </c>
      <c r="G59">
        <v>50</v>
      </c>
    </row>
    <row r="60" spans="1:7" x14ac:dyDescent="0.2">
      <c r="A60">
        <f t="shared" si="1"/>
        <v>5</v>
      </c>
      <c r="B60" t="s">
        <v>5</v>
      </c>
      <c r="C60">
        <f>IF(data!$B60&lt;&gt;data!$B59,1,C59+1)</f>
        <v>11</v>
      </c>
      <c r="D60">
        <v>12.229147988357855</v>
      </c>
      <c r="E60" t="s">
        <v>7</v>
      </c>
      <c r="F60" t="s">
        <v>12</v>
      </c>
      <c r="G60">
        <v>50</v>
      </c>
    </row>
    <row r="61" spans="1:7" x14ac:dyDescent="0.2">
      <c r="A61">
        <f t="shared" si="1"/>
        <v>5</v>
      </c>
      <c r="B61" t="s">
        <v>5</v>
      </c>
      <c r="C61">
        <f>IF(data!$B61&lt;&gt;data!$B60,1,C60+1)</f>
        <v>12</v>
      </c>
      <c r="D61">
        <v>11.221848749616356</v>
      </c>
      <c r="E61" t="s">
        <v>7</v>
      </c>
      <c r="F61" t="s">
        <v>12</v>
      </c>
      <c r="G61">
        <v>50</v>
      </c>
    </row>
    <row r="62" spans="1:7" x14ac:dyDescent="0.2">
      <c r="A62">
        <f t="shared" si="1"/>
        <v>6</v>
      </c>
      <c r="B62" t="s">
        <v>6</v>
      </c>
      <c r="C62">
        <f>IF(data!$B62&lt;&gt;data!$B61,1,C61+1)</f>
        <v>1</v>
      </c>
      <c r="D62">
        <v>24.214670164989233</v>
      </c>
      <c r="E62" t="s">
        <v>7</v>
      </c>
      <c r="F62" t="s">
        <v>12</v>
      </c>
      <c r="G62">
        <v>50</v>
      </c>
    </row>
    <row r="63" spans="1:7" x14ac:dyDescent="0.2">
      <c r="A63">
        <f t="shared" si="1"/>
        <v>6</v>
      </c>
      <c r="B63" t="s">
        <v>6</v>
      </c>
      <c r="C63">
        <f>IF(data!$B63&lt;&gt;data!$B62,1,C62+1)</f>
        <v>2</v>
      </c>
      <c r="D63">
        <v>22.707608310501747</v>
      </c>
      <c r="E63" t="s">
        <v>7</v>
      </c>
      <c r="F63" t="s">
        <v>12</v>
      </c>
      <c r="G63">
        <v>50</v>
      </c>
    </row>
    <row r="64" spans="1:7" x14ac:dyDescent="0.2">
      <c r="A64">
        <f t="shared" si="1"/>
        <v>6</v>
      </c>
      <c r="B64" t="s">
        <v>6</v>
      </c>
      <c r="C64">
        <f>IF(data!$B64&lt;&gt;data!$B63,1,C63+1)</f>
        <v>3</v>
      </c>
      <c r="D64">
        <v>21.200659450546418</v>
      </c>
      <c r="E64" t="s">
        <v>7</v>
      </c>
      <c r="F64" t="s">
        <v>12</v>
      </c>
      <c r="G64">
        <v>50</v>
      </c>
    </row>
    <row r="65" spans="1:7" x14ac:dyDescent="0.2">
      <c r="A65">
        <f t="shared" si="1"/>
        <v>6</v>
      </c>
      <c r="B65" t="s">
        <v>6</v>
      </c>
      <c r="C65">
        <f>IF(data!$B65&lt;&gt;data!$B64,1,C64+1)</f>
        <v>4</v>
      </c>
      <c r="D65">
        <v>19.693820026016112</v>
      </c>
      <c r="E65" t="s">
        <v>7</v>
      </c>
      <c r="F65" t="s">
        <v>12</v>
      </c>
      <c r="G65">
        <v>50</v>
      </c>
    </row>
    <row r="66" spans="1:7" x14ac:dyDescent="0.2">
      <c r="A66">
        <f t="shared" si="1"/>
        <v>6</v>
      </c>
      <c r="B66" t="s">
        <v>6</v>
      </c>
      <c r="C66">
        <f>IF(data!$B66&lt;&gt;data!$B65,1,C65+1)</f>
        <v>5</v>
      </c>
      <c r="D66">
        <v>18.187086643357144</v>
      </c>
      <c r="E66" t="s">
        <v>7</v>
      </c>
      <c r="F66" t="s">
        <v>12</v>
      </c>
      <c r="G66">
        <v>50</v>
      </c>
    </row>
    <row r="67" spans="1:7" x14ac:dyDescent="0.2">
      <c r="A67">
        <f t="shared" ref="A67:A97" si="2">IF(B67=B66,A66,A66+1)</f>
        <v>6</v>
      </c>
      <c r="B67" t="s">
        <v>6</v>
      </c>
      <c r="C67">
        <f>IF(data!$B67&lt;&gt;data!$B66,1,C66+1)</f>
        <v>6</v>
      </c>
      <c r="D67">
        <v>16.680456064458131</v>
      </c>
      <c r="E67" t="s">
        <v>7</v>
      </c>
      <c r="F67" t="s">
        <v>12</v>
      </c>
      <c r="G67">
        <v>50</v>
      </c>
    </row>
    <row r="68" spans="1:7" x14ac:dyDescent="0.2">
      <c r="A68">
        <f t="shared" si="2"/>
        <v>6</v>
      </c>
      <c r="B68" t="s">
        <v>6</v>
      </c>
      <c r="C68">
        <f>IF(data!$B68&lt;&gt;data!$B67,1,C67+1)</f>
        <v>7</v>
      </c>
      <c r="D68">
        <v>15.173925197299173</v>
      </c>
      <c r="E68" t="s">
        <v>7</v>
      </c>
      <c r="F68" t="s">
        <v>12</v>
      </c>
      <c r="G68">
        <v>50</v>
      </c>
    </row>
    <row r="69" spans="1:7" x14ac:dyDescent="0.2">
      <c r="A69">
        <f t="shared" si="2"/>
        <v>6</v>
      </c>
      <c r="B69" t="s">
        <v>6</v>
      </c>
      <c r="C69">
        <f>IF(data!$B69&lt;&gt;data!$B68,1,C68+1)</f>
        <v>8</v>
      </c>
      <c r="D69">
        <v>13.667491087293763</v>
      </c>
      <c r="E69" t="s">
        <v>7</v>
      </c>
      <c r="F69" t="s">
        <v>12</v>
      </c>
      <c r="G69">
        <v>50</v>
      </c>
    </row>
    <row r="70" spans="1:7" x14ac:dyDescent="0.2">
      <c r="A70">
        <f t="shared" si="2"/>
        <v>6</v>
      </c>
      <c r="B70" t="s">
        <v>6</v>
      </c>
      <c r="C70">
        <f>IF(data!$B70&lt;&gt;data!$B69,1,C69+1)</f>
        <v>9</v>
      </c>
      <c r="D70">
        <v>12.161150909262744</v>
      </c>
      <c r="E70" t="s">
        <v>7</v>
      </c>
      <c r="F70" t="s">
        <v>12</v>
      </c>
      <c r="G70">
        <v>50</v>
      </c>
    </row>
    <row r="71" spans="1:7" x14ac:dyDescent="0.2">
      <c r="A71">
        <f t="shared" si="2"/>
        <v>6</v>
      </c>
      <c r="B71" t="s">
        <v>6</v>
      </c>
      <c r="C71">
        <f>IF(data!$B71&lt;&gt;data!$B70,1,C70+1)</f>
        <v>10</v>
      </c>
      <c r="D71">
        <v>10.654901959985743</v>
      </c>
      <c r="E71" t="s">
        <v>7</v>
      </c>
      <c r="F71" t="s">
        <v>12</v>
      </c>
      <c r="G71">
        <v>50</v>
      </c>
    </row>
    <row r="72" spans="1:7" x14ac:dyDescent="0.2">
      <c r="A72">
        <f t="shared" si="2"/>
        <v>6</v>
      </c>
      <c r="B72" t="s">
        <v>6</v>
      </c>
      <c r="C72">
        <f>IF(data!$B72&lt;&gt;data!$B71,1,C71+1)</f>
        <v>11</v>
      </c>
      <c r="D72">
        <v>9.1487416512809254</v>
      </c>
      <c r="E72" t="s">
        <v>7</v>
      </c>
      <c r="F72" t="s">
        <v>12</v>
      </c>
      <c r="G72">
        <v>50</v>
      </c>
    </row>
    <row r="73" spans="1:7" x14ac:dyDescent="0.2">
      <c r="A73">
        <f t="shared" si="2"/>
        <v>6</v>
      </c>
      <c r="B73" t="s">
        <v>6</v>
      </c>
      <c r="C73">
        <f>IF(data!$B73&lt;&gt;data!$B72,1,C72+1)</f>
        <v>12</v>
      </c>
      <c r="D73">
        <v>7.642667503568731</v>
      </c>
      <c r="E73" t="s">
        <v>7</v>
      </c>
      <c r="F73" t="s">
        <v>12</v>
      </c>
      <c r="G73">
        <v>50</v>
      </c>
    </row>
    <row r="74" spans="1:7" x14ac:dyDescent="0.2">
      <c r="A74">
        <f t="shared" si="2"/>
        <v>7</v>
      </c>
      <c r="B74" t="s">
        <v>5</v>
      </c>
      <c r="C74">
        <f>IF(data!$B74&lt;&gt;data!$B73,1,C73+1)</f>
        <v>1</v>
      </c>
      <c r="D74">
        <v>23.136677139879545</v>
      </c>
      <c r="E74" t="s">
        <v>13</v>
      </c>
      <c r="F74" t="s">
        <v>12</v>
      </c>
      <c r="G74">
        <v>50</v>
      </c>
    </row>
    <row r="75" spans="1:7" x14ac:dyDescent="0.2">
      <c r="A75">
        <f t="shared" si="2"/>
        <v>7</v>
      </c>
      <c r="B75" t="s">
        <v>5</v>
      </c>
      <c r="C75">
        <f>IF(data!$B75&lt;&gt;data!$B74,1,C74+1)</f>
        <v>2</v>
      </c>
      <c r="D75">
        <v>22.630768280269024</v>
      </c>
      <c r="E75" t="s">
        <v>13</v>
      </c>
      <c r="F75" t="s">
        <v>12</v>
      </c>
      <c r="G75">
        <v>50</v>
      </c>
    </row>
    <row r="76" spans="1:7" x14ac:dyDescent="0.2">
      <c r="A76">
        <f t="shared" si="2"/>
        <v>7</v>
      </c>
      <c r="B76" t="s">
        <v>5</v>
      </c>
      <c r="C76">
        <f>IF(data!$B76&lt;&gt;data!$B75,1,C75+1)</f>
        <v>3</v>
      </c>
      <c r="D76">
        <v>22.1249387366083</v>
      </c>
      <c r="E76" t="s">
        <v>13</v>
      </c>
      <c r="F76" t="s">
        <v>12</v>
      </c>
      <c r="G76">
        <v>50</v>
      </c>
    </row>
    <row r="77" spans="1:7" x14ac:dyDescent="0.2">
      <c r="A77">
        <f t="shared" si="2"/>
        <v>7</v>
      </c>
      <c r="B77" t="s">
        <v>5</v>
      </c>
      <c r="C77">
        <f>IF(data!$B77&lt;&gt;data!$B76,1,C76+1)</f>
        <v>4</v>
      </c>
      <c r="D77">
        <v>21.619186407719209</v>
      </c>
      <c r="E77" t="s">
        <v>13</v>
      </c>
      <c r="F77" t="s">
        <v>12</v>
      </c>
      <c r="G77">
        <v>50</v>
      </c>
    </row>
    <row r="78" spans="1:7" x14ac:dyDescent="0.2">
      <c r="A78">
        <f t="shared" si="2"/>
        <v>7</v>
      </c>
      <c r="B78" t="s">
        <v>5</v>
      </c>
      <c r="C78">
        <f>IF(data!$B78&lt;&gt;data!$B77,1,C77+1)</f>
        <v>5</v>
      </c>
      <c r="D78">
        <v>21.113509274827518</v>
      </c>
      <c r="E78" t="s">
        <v>13</v>
      </c>
      <c r="F78" t="s">
        <v>12</v>
      </c>
      <c r="G78">
        <v>50</v>
      </c>
    </row>
    <row r="79" spans="1:7" x14ac:dyDescent="0.2">
      <c r="A79">
        <f t="shared" si="2"/>
        <v>7</v>
      </c>
      <c r="B79" t="s">
        <v>5</v>
      </c>
      <c r="C79">
        <f>IF(data!$B79&lt;&gt;data!$B78,1,C78+1)</f>
        <v>6</v>
      </c>
      <c r="D79">
        <v>20.607905397309519</v>
      </c>
      <c r="E79" t="s">
        <v>13</v>
      </c>
      <c r="F79" t="s">
        <v>12</v>
      </c>
      <c r="G79">
        <v>50</v>
      </c>
    </row>
    <row r="80" spans="1:7" x14ac:dyDescent="0.2">
      <c r="A80">
        <f t="shared" si="2"/>
        <v>7</v>
      </c>
      <c r="B80" t="s">
        <v>5</v>
      </c>
      <c r="C80">
        <f>IF(data!$B80&lt;&gt;data!$B79,1,C79+1)</f>
        <v>7</v>
      </c>
      <c r="D80">
        <v>20.102372908709558</v>
      </c>
      <c r="E80" t="s">
        <v>13</v>
      </c>
      <c r="F80" t="s">
        <v>12</v>
      </c>
      <c r="G80">
        <v>50</v>
      </c>
    </row>
    <row r="81" spans="1:7" x14ac:dyDescent="0.2">
      <c r="A81">
        <f t="shared" si="2"/>
        <v>7</v>
      </c>
      <c r="B81" t="s">
        <v>5</v>
      </c>
      <c r="C81">
        <f>IF(data!$B81&lt;&gt;data!$B80,1,C80+1)</f>
        <v>8</v>
      </c>
      <c r="D81">
        <v>19.596910013008056</v>
      </c>
      <c r="E81" t="s">
        <v>13</v>
      </c>
      <c r="F81" t="s">
        <v>12</v>
      </c>
      <c r="G81">
        <v>50</v>
      </c>
    </row>
    <row r="82" spans="1:7" x14ac:dyDescent="0.2">
      <c r="A82">
        <f t="shared" si="2"/>
        <v>7</v>
      </c>
      <c r="B82" t="s">
        <v>5</v>
      </c>
      <c r="C82">
        <f>IF(data!$B82&lt;&gt;data!$B81,1,C81+1)</f>
        <v>9</v>
      </c>
      <c r="D82">
        <v>19.09151498112135</v>
      </c>
      <c r="E82" t="s">
        <v>13</v>
      </c>
      <c r="F82" t="s">
        <v>12</v>
      </c>
      <c r="G82">
        <v>50</v>
      </c>
    </row>
    <row r="83" spans="1:7" x14ac:dyDescent="0.2">
      <c r="A83">
        <f t="shared" si="2"/>
        <v>7</v>
      </c>
      <c r="B83" t="s">
        <v>5</v>
      </c>
      <c r="C83">
        <f>IF(data!$B83&lt;&gt;data!$B82,1,C82+1)</f>
        <v>10</v>
      </c>
      <c r="D83">
        <v>18.586186147616282</v>
      </c>
      <c r="E83" t="s">
        <v>13</v>
      </c>
      <c r="F83" t="s">
        <v>12</v>
      </c>
      <c r="G83">
        <v>50</v>
      </c>
    </row>
    <row r="84" spans="1:7" x14ac:dyDescent="0.2">
      <c r="A84">
        <f t="shared" si="2"/>
        <v>7</v>
      </c>
      <c r="B84" t="s">
        <v>5</v>
      </c>
      <c r="C84">
        <f>IF(data!$B84&lt;&gt;data!$B83,1,C83+1)</f>
        <v>11</v>
      </c>
      <c r="D84">
        <v>18.080921907623924</v>
      </c>
      <c r="E84" t="s">
        <v>13</v>
      </c>
      <c r="F84" t="s">
        <v>12</v>
      </c>
      <c r="G84">
        <v>50</v>
      </c>
    </row>
    <row r="85" spans="1:7" x14ac:dyDescent="0.2">
      <c r="A85">
        <f t="shared" si="2"/>
        <v>7</v>
      </c>
      <c r="B85" t="s">
        <v>5</v>
      </c>
      <c r="C85">
        <f>IF(data!$B85&lt;&gt;data!$B84,1,C84+1)</f>
        <v>12</v>
      </c>
      <c r="D85">
        <v>17.575720713938118</v>
      </c>
      <c r="E85" t="s">
        <v>13</v>
      </c>
      <c r="F85" t="s">
        <v>12</v>
      </c>
      <c r="G85">
        <v>50</v>
      </c>
    </row>
    <row r="86" spans="1:7" x14ac:dyDescent="0.2">
      <c r="A86">
        <f t="shared" si="2"/>
        <v>8</v>
      </c>
      <c r="B86" t="s">
        <v>6</v>
      </c>
      <c r="C86">
        <f>IF(data!$B86&lt;&gt;data!$B85,1,C85+1)</f>
        <v>1</v>
      </c>
      <c r="D86">
        <v>25.070581074285709</v>
      </c>
      <c r="E86" t="s">
        <v>13</v>
      </c>
      <c r="F86" t="s">
        <v>12</v>
      </c>
      <c r="G86">
        <v>50</v>
      </c>
    </row>
    <row r="87" spans="1:7" x14ac:dyDescent="0.2">
      <c r="A87">
        <f t="shared" si="2"/>
        <v>8</v>
      </c>
      <c r="B87" t="s">
        <v>6</v>
      </c>
      <c r="C87">
        <f>IF(data!$B87&lt;&gt;data!$B86,1,C86+1)</f>
        <v>2</v>
      </c>
      <c r="D87">
        <v>23.865501548756434</v>
      </c>
      <c r="E87" t="s">
        <v>13</v>
      </c>
      <c r="F87" t="s">
        <v>12</v>
      </c>
      <c r="G87">
        <v>50</v>
      </c>
    </row>
    <row r="88" spans="1:7" x14ac:dyDescent="0.2">
      <c r="A88">
        <f t="shared" si="2"/>
        <v>8</v>
      </c>
      <c r="B88" t="s">
        <v>6</v>
      </c>
      <c r="C88">
        <f>IF(data!$B88&lt;&gt;data!$B87,1,C87+1)</f>
        <v>3</v>
      </c>
      <c r="D88">
        <v>22.660480747381381</v>
      </c>
      <c r="E88" t="s">
        <v>13</v>
      </c>
      <c r="F88" t="s">
        <v>12</v>
      </c>
      <c r="G88">
        <v>50</v>
      </c>
    </row>
    <row r="89" spans="1:7" x14ac:dyDescent="0.2">
      <c r="A89">
        <f t="shared" si="2"/>
        <v>8</v>
      </c>
      <c r="B89" t="s">
        <v>6</v>
      </c>
      <c r="C89">
        <f>IF(data!$B89&lt;&gt;data!$B88,1,C88+1)</f>
        <v>4</v>
      </c>
      <c r="D89">
        <v>21.455517327849833</v>
      </c>
      <c r="E89" t="s">
        <v>13</v>
      </c>
      <c r="F89" t="s">
        <v>12</v>
      </c>
      <c r="G89">
        <v>50</v>
      </c>
    </row>
    <row r="90" spans="1:7" x14ac:dyDescent="0.2">
      <c r="A90">
        <f t="shared" si="2"/>
        <v>8</v>
      </c>
      <c r="B90" t="s">
        <v>6</v>
      </c>
      <c r="C90">
        <f>IF(data!$B90&lt;&gt;data!$B89,1,C89+1)</f>
        <v>5</v>
      </c>
      <c r="D90">
        <v>20.250609993355091</v>
      </c>
      <c r="E90" t="s">
        <v>13</v>
      </c>
      <c r="F90" t="s">
        <v>12</v>
      </c>
      <c r="G90">
        <v>50</v>
      </c>
    </row>
    <row r="91" spans="1:7" x14ac:dyDescent="0.2">
      <c r="A91">
        <f t="shared" si="2"/>
        <v>8</v>
      </c>
      <c r="B91" t="s">
        <v>6</v>
      </c>
      <c r="C91">
        <f>IF(data!$B91&lt;&gt;data!$B90,1,C90+1)</f>
        <v>6</v>
      </c>
      <c r="D91">
        <v>19.045757490560678</v>
      </c>
      <c r="E91" t="s">
        <v>13</v>
      </c>
      <c r="F91" t="s">
        <v>12</v>
      </c>
      <c r="G91">
        <v>50</v>
      </c>
    </row>
    <row r="92" spans="1:7" x14ac:dyDescent="0.2">
      <c r="A92">
        <f t="shared" si="2"/>
        <v>8</v>
      </c>
      <c r="B92" t="s">
        <v>6</v>
      </c>
      <c r="C92">
        <f>IF(data!$B92&lt;&gt;data!$B91,1,C91+1)</f>
        <v>7</v>
      </c>
      <c r="D92">
        <v>17.84095860767891</v>
      </c>
      <c r="E92" t="s">
        <v>13</v>
      </c>
      <c r="F92" t="s">
        <v>12</v>
      </c>
      <c r="G92">
        <v>50</v>
      </c>
    </row>
    <row r="93" spans="1:7" x14ac:dyDescent="0.2">
      <c r="A93">
        <f t="shared" si="2"/>
        <v>8</v>
      </c>
      <c r="B93" t="s">
        <v>6</v>
      </c>
      <c r="C93">
        <f>IF(data!$B93&lt;&gt;data!$B92,1,C92+1)</f>
        <v>8</v>
      </c>
      <c r="D93">
        <v>16.636212172654449</v>
      </c>
      <c r="E93" t="s">
        <v>13</v>
      </c>
      <c r="F93" t="s">
        <v>12</v>
      </c>
      <c r="G93">
        <v>50</v>
      </c>
    </row>
    <row r="94" spans="1:7" x14ac:dyDescent="0.2">
      <c r="A94">
        <f t="shared" si="2"/>
        <v>8</v>
      </c>
      <c r="B94" t="s">
        <v>6</v>
      </c>
      <c r="C94">
        <f>IF(data!$B94&lt;&gt;data!$B93,1,C93+1)</f>
        <v>9</v>
      </c>
      <c r="D94">
        <v>15.43151705144607</v>
      </c>
      <c r="E94" t="s">
        <v>13</v>
      </c>
      <c r="F94" t="s">
        <v>12</v>
      </c>
      <c r="G94">
        <v>50</v>
      </c>
    </row>
    <row r="95" spans="1:7" x14ac:dyDescent="0.2">
      <c r="A95">
        <f t="shared" si="2"/>
        <v>8</v>
      </c>
      <c r="B95" t="s">
        <v>6</v>
      </c>
      <c r="C95">
        <f>IF(data!$B95&lt;&gt;data!$B94,1,C94+1)</f>
        <v>10</v>
      </c>
      <c r="D95">
        <v>14.226872146400307</v>
      </c>
      <c r="E95" t="s">
        <v>13</v>
      </c>
      <c r="F95" t="s">
        <v>12</v>
      </c>
      <c r="G95">
        <v>50</v>
      </c>
    </row>
    <row r="96" spans="1:7" x14ac:dyDescent="0.2">
      <c r="A96">
        <f t="shared" si="2"/>
        <v>8</v>
      </c>
      <c r="B96" t="s">
        <v>6</v>
      </c>
      <c r="C96">
        <f>IF(data!$B96&lt;&gt;data!$B95,1,C95+1)</f>
        <v>11</v>
      </c>
      <c r="D96">
        <v>13.022276394711159</v>
      </c>
      <c r="E96" t="s">
        <v>13</v>
      </c>
      <c r="F96" t="s">
        <v>12</v>
      </c>
      <c r="G96">
        <v>50</v>
      </c>
    </row>
    <row r="97" spans="1:7" x14ac:dyDescent="0.2">
      <c r="A97">
        <f t="shared" si="2"/>
        <v>8</v>
      </c>
      <c r="B97" t="s">
        <v>6</v>
      </c>
      <c r="C97">
        <f>IF(data!$B97&lt;&gt;data!$B96,1,C96+1)</f>
        <v>12</v>
      </c>
      <c r="D97">
        <v>11.817728766960439</v>
      </c>
      <c r="E97" t="s">
        <v>13</v>
      </c>
      <c r="F97" t="s">
        <v>12</v>
      </c>
      <c r="G97">
        <v>50</v>
      </c>
    </row>
    <row r="98" spans="1:7" x14ac:dyDescent="0.2">
      <c r="A98">
        <f t="shared" ref="A98:A161" si="3">IF(B98=B97,A97,A97+1)</f>
        <v>9</v>
      </c>
      <c r="B98" t="s">
        <v>5</v>
      </c>
      <c r="C98">
        <f>IF(data!$B98&lt;&gt;data!$B97,1,C97+1)</f>
        <v>1</v>
      </c>
      <c r="D98">
        <v>22</v>
      </c>
      <c r="E98" t="s">
        <v>7</v>
      </c>
      <c r="F98" t="s">
        <v>14</v>
      </c>
      <c r="G98">
        <v>50</v>
      </c>
    </row>
    <row r="99" spans="1:7" x14ac:dyDescent="0.2">
      <c r="A99">
        <f t="shared" si="3"/>
        <v>9</v>
      </c>
      <c r="B99" t="s">
        <v>5</v>
      </c>
      <c r="C99">
        <f>IF(data!$B99&lt;&gt;data!$B98,1,C98+1)</f>
        <v>2</v>
      </c>
      <c r="D99">
        <v>21</v>
      </c>
      <c r="E99" t="s">
        <v>7</v>
      </c>
      <c r="F99" t="s">
        <v>14</v>
      </c>
      <c r="G99">
        <v>50</v>
      </c>
    </row>
    <row r="100" spans="1:7" x14ac:dyDescent="0.2">
      <c r="A100">
        <f t="shared" si="3"/>
        <v>9</v>
      </c>
      <c r="B100" t="s">
        <v>5</v>
      </c>
      <c r="C100">
        <f>IF(data!$B100&lt;&gt;data!$B99,1,C99+1)</f>
        <v>3</v>
      </c>
      <c r="D100">
        <v>20</v>
      </c>
      <c r="E100" t="s">
        <v>7</v>
      </c>
      <c r="F100" t="s">
        <v>14</v>
      </c>
      <c r="G100">
        <v>50</v>
      </c>
    </row>
    <row r="101" spans="1:7" x14ac:dyDescent="0.2">
      <c r="A101">
        <f t="shared" si="3"/>
        <v>9</v>
      </c>
      <c r="B101" t="s">
        <v>5</v>
      </c>
      <c r="C101">
        <f>IF(data!$B101&lt;&gt;data!$B100,1,C100+1)</f>
        <v>4</v>
      </c>
      <c r="D101">
        <v>19</v>
      </c>
      <c r="E101" t="s">
        <v>7</v>
      </c>
      <c r="F101" t="s">
        <v>14</v>
      </c>
      <c r="G101">
        <v>50</v>
      </c>
    </row>
    <row r="102" spans="1:7" x14ac:dyDescent="0.2">
      <c r="A102">
        <f t="shared" si="3"/>
        <v>9</v>
      </c>
      <c r="B102" t="s">
        <v>5</v>
      </c>
      <c r="C102">
        <f>IF(data!$B102&lt;&gt;data!$B101,1,C101+1)</f>
        <v>5</v>
      </c>
      <c r="D102">
        <v>18</v>
      </c>
      <c r="E102" t="s">
        <v>7</v>
      </c>
      <c r="F102" t="s">
        <v>14</v>
      </c>
      <c r="G102">
        <v>50</v>
      </c>
    </row>
    <row r="103" spans="1:7" x14ac:dyDescent="0.2">
      <c r="A103">
        <f t="shared" si="3"/>
        <v>9</v>
      </c>
      <c r="B103" t="s">
        <v>5</v>
      </c>
      <c r="C103">
        <f>IF(data!$B103&lt;&gt;data!$B102,1,C102+1)</f>
        <v>6</v>
      </c>
      <c r="D103">
        <v>17</v>
      </c>
      <c r="E103" t="s">
        <v>7</v>
      </c>
      <c r="F103" t="s">
        <v>14</v>
      </c>
      <c r="G103">
        <v>50</v>
      </c>
    </row>
    <row r="104" spans="1:7" x14ac:dyDescent="0.2">
      <c r="A104">
        <f t="shared" si="3"/>
        <v>9</v>
      </c>
      <c r="B104" t="s">
        <v>5</v>
      </c>
      <c r="C104">
        <f>IF(data!$B104&lt;&gt;data!$B103,1,C103+1)</f>
        <v>7</v>
      </c>
      <c r="D104">
        <v>16</v>
      </c>
      <c r="E104" t="s">
        <v>7</v>
      </c>
      <c r="F104" t="s">
        <v>14</v>
      </c>
      <c r="G104">
        <v>50</v>
      </c>
    </row>
    <row r="105" spans="1:7" x14ac:dyDescent="0.2">
      <c r="A105">
        <f t="shared" si="3"/>
        <v>9</v>
      </c>
      <c r="B105" t="s">
        <v>5</v>
      </c>
      <c r="C105">
        <f>IF(data!$B105&lt;&gt;data!$B104,1,C104+1)</f>
        <v>8</v>
      </c>
      <c r="D105">
        <v>15</v>
      </c>
      <c r="E105" t="s">
        <v>7</v>
      </c>
      <c r="F105" t="s">
        <v>14</v>
      </c>
      <c r="G105">
        <v>50</v>
      </c>
    </row>
    <row r="106" spans="1:7" x14ac:dyDescent="0.2">
      <c r="A106">
        <f t="shared" si="3"/>
        <v>9</v>
      </c>
      <c r="B106" t="s">
        <v>5</v>
      </c>
      <c r="C106">
        <f>IF(data!$B106&lt;&gt;data!$B105,1,C105+1)</f>
        <v>9</v>
      </c>
      <c r="D106">
        <v>14</v>
      </c>
      <c r="E106" t="s">
        <v>7</v>
      </c>
      <c r="F106" t="s">
        <v>14</v>
      </c>
      <c r="G106">
        <v>50</v>
      </c>
    </row>
    <row r="107" spans="1:7" x14ac:dyDescent="0.2">
      <c r="A107">
        <f t="shared" si="3"/>
        <v>9</v>
      </c>
      <c r="B107" t="s">
        <v>5</v>
      </c>
      <c r="C107">
        <f>IF(data!$B107&lt;&gt;data!$B106,1,C106+1)</f>
        <v>10</v>
      </c>
      <c r="D107">
        <v>13</v>
      </c>
      <c r="E107" t="s">
        <v>7</v>
      </c>
      <c r="F107" t="s">
        <v>14</v>
      </c>
      <c r="G107">
        <v>50</v>
      </c>
    </row>
    <row r="108" spans="1:7" x14ac:dyDescent="0.2">
      <c r="A108">
        <f t="shared" si="3"/>
        <v>9</v>
      </c>
      <c r="B108" t="s">
        <v>5</v>
      </c>
      <c r="C108">
        <f>IF(data!$B108&lt;&gt;data!$B107,1,C107+1)</f>
        <v>11</v>
      </c>
      <c r="D108">
        <v>12</v>
      </c>
      <c r="E108" t="s">
        <v>7</v>
      </c>
      <c r="F108" t="s">
        <v>14</v>
      </c>
      <c r="G108">
        <v>50</v>
      </c>
    </row>
    <row r="109" spans="1:7" x14ac:dyDescent="0.2">
      <c r="A109">
        <f t="shared" si="3"/>
        <v>9</v>
      </c>
      <c r="B109" t="s">
        <v>5</v>
      </c>
      <c r="C109">
        <f>IF(data!$B109&lt;&gt;data!$B108,1,C108+1)</f>
        <v>12</v>
      </c>
      <c r="D109">
        <v>11</v>
      </c>
      <c r="E109" t="s">
        <v>7</v>
      </c>
      <c r="F109" t="s">
        <v>14</v>
      </c>
      <c r="G109">
        <v>50</v>
      </c>
    </row>
    <row r="110" spans="1:7" x14ac:dyDescent="0.2">
      <c r="A110">
        <f t="shared" si="3"/>
        <v>10</v>
      </c>
      <c r="B110" t="s">
        <v>6</v>
      </c>
      <c r="C110">
        <f>IF(data!$B110&lt;&gt;data!$B109,1,C109+1)</f>
        <v>1</v>
      </c>
      <c r="D110">
        <v>24</v>
      </c>
      <c r="E110" t="s">
        <v>7</v>
      </c>
      <c r="F110" t="s">
        <v>14</v>
      </c>
      <c r="G110">
        <v>50</v>
      </c>
    </row>
    <row r="111" spans="1:7" x14ac:dyDescent="0.2">
      <c r="A111">
        <f t="shared" si="3"/>
        <v>10</v>
      </c>
      <c r="B111" t="s">
        <v>6</v>
      </c>
      <c r="C111">
        <f>IF(data!$B111&lt;&gt;data!$B110,1,C110+1)</f>
        <v>2</v>
      </c>
      <c r="D111">
        <v>22.5</v>
      </c>
      <c r="E111" t="s">
        <v>7</v>
      </c>
      <c r="F111" t="s">
        <v>14</v>
      </c>
      <c r="G111">
        <v>50</v>
      </c>
    </row>
    <row r="112" spans="1:7" x14ac:dyDescent="0.2">
      <c r="A112">
        <f t="shared" si="3"/>
        <v>10</v>
      </c>
      <c r="B112" t="s">
        <v>6</v>
      </c>
      <c r="C112">
        <f>IF(data!$B112&lt;&gt;data!$B111,1,C111+1)</f>
        <v>3</v>
      </c>
      <c r="D112">
        <v>21</v>
      </c>
      <c r="E112" t="s">
        <v>7</v>
      </c>
      <c r="F112" t="s">
        <v>14</v>
      </c>
      <c r="G112">
        <v>50</v>
      </c>
    </row>
    <row r="113" spans="1:7" x14ac:dyDescent="0.2">
      <c r="A113">
        <f t="shared" si="3"/>
        <v>10</v>
      </c>
      <c r="B113" t="s">
        <v>6</v>
      </c>
      <c r="C113">
        <f>IF(data!$B113&lt;&gt;data!$B112,1,C112+1)</f>
        <v>4</v>
      </c>
      <c r="D113">
        <v>19.5</v>
      </c>
      <c r="E113" t="s">
        <v>7</v>
      </c>
      <c r="F113" t="s">
        <v>14</v>
      </c>
      <c r="G113">
        <v>50</v>
      </c>
    </row>
    <row r="114" spans="1:7" x14ac:dyDescent="0.2">
      <c r="A114">
        <f t="shared" si="3"/>
        <v>10</v>
      </c>
      <c r="B114" t="s">
        <v>6</v>
      </c>
      <c r="C114">
        <f>IF(data!$B114&lt;&gt;data!$B113,1,C113+1)</f>
        <v>5</v>
      </c>
      <c r="D114">
        <v>18</v>
      </c>
      <c r="E114" t="s">
        <v>7</v>
      </c>
      <c r="F114" t="s">
        <v>14</v>
      </c>
      <c r="G114">
        <v>50</v>
      </c>
    </row>
    <row r="115" spans="1:7" x14ac:dyDescent="0.2">
      <c r="A115">
        <f t="shared" si="3"/>
        <v>10</v>
      </c>
      <c r="B115" t="s">
        <v>6</v>
      </c>
      <c r="C115">
        <f>IF(data!$B115&lt;&gt;data!$B114,1,C114+1)</f>
        <v>6</v>
      </c>
      <c r="D115">
        <v>16.5</v>
      </c>
      <c r="E115" t="s">
        <v>7</v>
      </c>
      <c r="F115" t="s">
        <v>14</v>
      </c>
      <c r="G115">
        <v>50</v>
      </c>
    </row>
    <row r="116" spans="1:7" x14ac:dyDescent="0.2">
      <c r="A116">
        <f t="shared" si="3"/>
        <v>10</v>
      </c>
      <c r="B116" t="s">
        <v>6</v>
      </c>
      <c r="C116">
        <f>IF(data!$B116&lt;&gt;data!$B115,1,C115+1)</f>
        <v>7</v>
      </c>
      <c r="D116">
        <v>15</v>
      </c>
      <c r="E116" t="s">
        <v>7</v>
      </c>
      <c r="F116" t="s">
        <v>14</v>
      </c>
      <c r="G116">
        <v>50</v>
      </c>
    </row>
    <row r="117" spans="1:7" x14ac:dyDescent="0.2">
      <c r="A117">
        <f t="shared" si="3"/>
        <v>10</v>
      </c>
      <c r="B117" t="s">
        <v>6</v>
      </c>
      <c r="C117">
        <f>IF(data!$B117&lt;&gt;data!$B116,1,C116+1)</f>
        <v>8</v>
      </c>
      <c r="D117">
        <v>13.5</v>
      </c>
      <c r="E117" t="s">
        <v>7</v>
      </c>
      <c r="F117" t="s">
        <v>14</v>
      </c>
      <c r="G117">
        <v>50</v>
      </c>
    </row>
    <row r="118" spans="1:7" x14ac:dyDescent="0.2">
      <c r="A118">
        <f t="shared" si="3"/>
        <v>10</v>
      </c>
      <c r="B118" t="s">
        <v>6</v>
      </c>
      <c r="C118">
        <f>IF(data!$B118&lt;&gt;data!$B117,1,C117+1)</f>
        <v>9</v>
      </c>
      <c r="D118">
        <v>12</v>
      </c>
      <c r="E118" t="s">
        <v>7</v>
      </c>
      <c r="F118" t="s">
        <v>14</v>
      </c>
      <c r="G118">
        <v>50</v>
      </c>
    </row>
    <row r="119" spans="1:7" x14ac:dyDescent="0.2">
      <c r="A119">
        <f t="shared" si="3"/>
        <v>10</v>
      </c>
      <c r="B119" t="s">
        <v>6</v>
      </c>
      <c r="C119">
        <f>IF(data!$B119&lt;&gt;data!$B118,1,C118+1)</f>
        <v>10</v>
      </c>
      <c r="D119">
        <v>10.5</v>
      </c>
      <c r="E119" t="s">
        <v>7</v>
      </c>
      <c r="F119" t="s">
        <v>14</v>
      </c>
      <c r="G119">
        <v>50</v>
      </c>
    </row>
    <row r="120" spans="1:7" x14ac:dyDescent="0.2">
      <c r="A120">
        <f t="shared" si="3"/>
        <v>10</v>
      </c>
      <c r="B120" t="s">
        <v>6</v>
      </c>
      <c r="C120">
        <f>IF(data!$B120&lt;&gt;data!$B119,1,C119+1)</f>
        <v>11</v>
      </c>
      <c r="D120">
        <v>9</v>
      </c>
      <c r="E120" t="s">
        <v>7</v>
      </c>
      <c r="F120" t="s">
        <v>14</v>
      </c>
      <c r="G120">
        <v>50</v>
      </c>
    </row>
    <row r="121" spans="1:7" x14ac:dyDescent="0.2">
      <c r="A121">
        <f t="shared" si="3"/>
        <v>10</v>
      </c>
      <c r="B121" t="s">
        <v>6</v>
      </c>
      <c r="C121">
        <f>IF(data!$B121&lt;&gt;data!$B120,1,C120+1)</f>
        <v>12</v>
      </c>
      <c r="D121">
        <v>7.5</v>
      </c>
      <c r="E121" t="s">
        <v>7</v>
      </c>
      <c r="F121" t="s">
        <v>14</v>
      </c>
      <c r="G121">
        <v>50</v>
      </c>
    </row>
    <row r="122" spans="1:7" x14ac:dyDescent="0.2">
      <c r="A122">
        <f t="shared" si="3"/>
        <v>11</v>
      </c>
      <c r="B122" t="s">
        <v>5</v>
      </c>
      <c r="C122">
        <f>IF(data!$B122&lt;&gt;data!$B121,1,C121+1)</f>
        <v>1</v>
      </c>
      <c r="D122">
        <v>23</v>
      </c>
      <c r="E122" t="s">
        <v>13</v>
      </c>
      <c r="F122" t="s">
        <v>14</v>
      </c>
      <c r="G122">
        <v>50</v>
      </c>
    </row>
    <row r="123" spans="1:7" x14ac:dyDescent="0.2">
      <c r="A123">
        <f t="shared" si="3"/>
        <v>11</v>
      </c>
      <c r="B123" t="s">
        <v>5</v>
      </c>
      <c r="C123">
        <f>IF(data!$B123&lt;&gt;data!$B122,1,C122+1)</f>
        <v>2</v>
      </c>
      <c r="D123">
        <v>22.5</v>
      </c>
      <c r="E123" t="s">
        <v>13</v>
      </c>
      <c r="F123" t="s">
        <v>14</v>
      </c>
      <c r="G123">
        <v>50</v>
      </c>
    </row>
    <row r="124" spans="1:7" x14ac:dyDescent="0.2">
      <c r="A124">
        <f t="shared" si="3"/>
        <v>11</v>
      </c>
      <c r="B124" t="s">
        <v>5</v>
      </c>
      <c r="C124">
        <f>IF(data!$B124&lt;&gt;data!$B123,1,C123+1)</f>
        <v>3</v>
      </c>
      <c r="D124">
        <v>22</v>
      </c>
      <c r="E124" t="s">
        <v>13</v>
      </c>
      <c r="F124" t="s">
        <v>14</v>
      </c>
      <c r="G124">
        <v>50</v>
      </c>
    </row>
    <row r="125" spans="1:7" x14ac:dyDescent="0.2">
      <c r="A125">
        <f t="shared" si="3"/>
        <v>11</v>
      </c>
      <c r="B125" t="s">
        <v>5</v>
      </c>
      <c r="C125">
        <f>IF(data!$B125&lt;&gt;data!$B124,1,C124+1)</f>
        <v>4</v>
      </c>
      <c r="D125">
        <v>21.5</v>
      </c>
      <c r="E125" t="s">
        <v>13</v>
      </c>
      <c r="F125" t="s">
        <v>14</v>
      </c>
      <c r="G125">
        <v>50</v>
      </c>
    </row>
    <row r="126" spans="1:7" x14ac:dyDescent="0.2">
      <c r="A126">
        <f t="shared" si="3"/>
        <v>11</v>
      </c>
      <c r="B126" t="s">
        <v>5</v>
      </c>
      <c r="C126">
        <f>IF(data!$B126&lt;&gt;data!$B125,1,C125+1)</f>
        <v>5</v>
      </c>
      <c r="D126">
        <v>21</v>
      </c>
      <c r="E126" t="s">
        <v>13</v>
      </c>
      <c r="F126" t="s">
        <v>14</v>
      </c>
      <c r="G126">
        <v>50</v>
      </c>
    </row>
    <row r="127" spans="1:7" x14ac:dyDescent="0.2">
      <c r="A127">
        <f t="shared" si="3"/>
        <v>11</v>
      </c>
      <c r="B127" t="s">
        <v>5</v>
      </c>
      <c r="C127">
        <f>IF(data!$B127&lt;&gt;data!$B126,1,C126+1)</f>
        <v>6</v>
      </c>
      <c r="D127">
        <v>20.5</v>
      </c>
      <c r="E127" t="s">
        <v>13</v>
      </c>
      <c r="F127" t="s">
        <v>14</v>
      </c>
      <c r="G127">
        <v>50</v>
      </c>
    </row>
    <row r="128" spans="1:7" x14ac:dyDescent="0.2">
      <c r="A128">
        <f t="shared" si="3"/>
        <v>11</v>
      </c>
      <c r="B128" t="s">
        <v>5</v>
      </c>
      <c r="C128">
        <f>IF(data!$B128&lt;&gt;data!$B127,1,C127+1)</f>
        <v>7</v>
      </c>
      <c r="D128">
        <v>20</v>
      </c>
      <c r="E128" t="s">
        <v>13</v>
      </c>
      <c r="F128" t="s">
        <v>14</v>
      </c>
      <c r="G128">
        <v>50</v>
      </c>
    </row>
    <row r="129" spans="1:7" x14ac:dyDescent="0.2">
      <c r="A129">
        <f t="shared" si="3"/>
        <v>11</v>
      </c>
      <c r="B129" t="s">
        <v>5</v>
      </c>
      <c r="C129">
        <f>IF(data!$B129&lt;&gt;data!$B128,1,C128+1)</f>
        <v>8</v>
      </c>
      <c r="D129">
        <v>19.5</v>
      </c>
      <c r="E129" t="s">
        <v>13</v>
      </c>
      <c r="F129" t="s">
        <v>14</v>
      </c>
      <c r="G129">
        <v>50</v>
      </c>
    </row>
    <row r="130" spans="1:7" x14ac:dyDescent="0.2">
      <c r="A130">
        <f t="shared" si="3"/>
        <v>11</v>
      </c>
      <c r="B130" t="s">
        <v>5</v>
      </c>
      <c r="C130">
        <f>IF(data!$B130&lt;&gt;data!$B129,1,C129+1)</f>
        <v>9</v>
      </c>
      <c r="D130">
        <v>19</v>
      </c>
      <c r="E130" t="s">
        <v>13</v>
      </c>
      <c r="F130" t="s">
        <v>14</v>
      </c>
      <c r="G130">
        <v>50</v>
      </c>
    </row>
    <row r="131" spans="1:7" x14ac:dyDescent="0.2">
      <c r="A131">
        <f t="shared" si="3"/>
        <v>11</v>
      </c>
      <c r="B131" t="s">
        <v>5</v>
      </c>
      <c r="C131">
        <f>IF(data!$B131&lt;&gt;data!$B130,1,C130+1)</f>
        <v>10</v>
      </c>
      <c r="D131">
        <v>18.5</v>
      </c>
      <c r="E131" t="s">
        <v>13</v>
      </c>
      <c r="F131" t="s">
        <v>14</v>
      </c>
      <c r="G131">
        <v>50</v>
      </c>
    </row>
    <row r="132" spans="1:7" x14ac:dyDescent="0.2">
      <c r="A132">
        <f t="shared" si="3"/>
        <v>11</v>
      </c>
      <c r="B132" t="s">
        <v>5</v>
      </c>
      <c r="C132">
        <f>IF(data!$B132&lt;&gt;data!$B131,1,C131+1)</f>
        <v>11</v>
      </c>
      <c r="D132">
        <v>18</v>
      </c>
      <c r="E132" t="s">
        <v>13</v>
      </c>
      <c r="F132" t="s">
        <v>14</v>
      </c>
      <c r="G132">
        <v>50</v>
      </c>
    </row>
    <row r="133" spans="1:7" x14ac:dyDescent="0.2">
      <c r="A133">
        <f t="shared" si="3"/>
        <v>11</v>
      </c>
      <c r="B133" t="s">
        <v>5</v>
      </c>
      <c r="C133">
        <f>IF(data!$B133&lt;&gt;data!$B132,1,C132+1)</f>
        <v>12</v>
      </c>
      <c r="D133">
        <v>17.5</v>
      </c>
      <c r="E133" t="s">
        <v>13</v>
      </c>
      <c r="F133" t="s">
        <v>14</v>
      </c>
      <c r="G133">
        <v>50</v>
      </c>
    </row>
    <row r="134" spans="1:7" x14ac:dyDescent="0.2">
      <c r="A134">
        <f t="shared" si="3"/>
        <v>12</v>
      </c>
      <c r="B134" t="s">
        <v>6</v>
      </c>
      <c r="C134">
        <f>IF(data!$B134&lt;&gt;data!$B133,1,C133+1)</f>
        <v>1</v>
      </c>
      <c r="D134">
        <v>25</v>
      </c>
      <c r="E134" t="s">
        <v>13</v>
      </c>
      <c r="F134" t="s">
        <v>14</v>
      </c>
      <c r="G134">
        <v>50</v>
      </c>
    </row>
    <row r="135" spans="1:7" x14ac:dyDescent="0.2">
      <c r="A135">
        <f t="shared" si="3"/>
        <v>12</v>
      </c>
      <c r="B135" t="s">
        <v>6</v>
      </c>
      <c r="C135">
        <f>IF(data!$B135&lt;&gt;data!$B134,1,C134+1)</f>
        <v>2</v>
      </c>
      <c r="D135">
        <v>23.8</v>
      </c>
      <c r="E135" t="s">
        <v>13</v>
      </c>
      <c r="F135" t="s">
        <v>14</v>
      </c>
      <c r="G135">
        <v>50</v>
      </c>
    </row>
    <row r="136" spans="1:7" x14ac:dyDescent="0.2">
      <c r="A136">
        <f t="shared" si="3"/>
        <v>12</v>
      </c>
      <c r="B136" t="s">
        <v>6</v>
      </c>
      <c r="C136">
        <f>IF(data!$B136&lt;&gt;data!$B135,1,C135+1)</f>
        <v>3</v>
      </c>
      <c r="D136">
        <v>22.6</v>
      </c>
      <c r="E136" t="s">
        <v>13</v>
      </c>
      <c r="F136" t="s">
        <v>14</v>
      </c>
      <c r="G136">
        <v>50</v>
      </c>
    </row>
    <row r="137" spans="1:7" x14ac:dyDescent="0.2">
      <c r="A137">
        <f t="shared" si="3"/>
        <v>12</v>
      </c>
      <c r="B137" t="s">
        <v>6</v>
      </c>
      <c r="C137">
        <f>IF(data!$B137&lt;&gt;data!$B136,1,C136+1)</f>
        <v>4</v>
      </c>
      <c r="D137">
        <v>21.400000000000002</v>
      </c>
      <c r="E137" t="s">
        <v>13</v>
      </c>
      <c r="F137" t="s">
        <v>14</v>
      </c>
      <c r="G137">
        <v>50</v>
      </c>
    </row>
    <row r="138" spans="1:7" x14ac:dyDescent="0.2">
      <c r="A138">
        <f t="shared" si="3"/>
        <v>12</v>
      </c>
      <c r="B138" t="s">
        <v>6</v>
      </c>
      <c r="C138">
        <f>IF(data!$B138&lt;&gt;data!$B137,1,C137+1)</f>
        <v>5</v>
      </c>
      <c r="D138">
        <v>20.200000000000003</v>
      </c>
      <c r="E138" t="s">
        <v>13</v>
      </c>
      <c r="F138" t="s">
        <v>14</v>
      </c>
      <c r="G138">
        <v>50</v>
      </c>
    </row>
    <row r="139" spans="1:7" x14ac:dyDescent="0.2">
      <c r="A139">
        <f t="shared" si="3"/>
        <v>12</v>
      </c>
      <c r="B139" t="s">
        <v>6</v>
      </c>
      <c r="C139">
        <f>IF(data!$B139&lt;&gt;data!$B138,1,C138+1)</f>
        <v>6</v>
      </c>
      <c r="D139">
        <v>19.000000000000004</v>
      </c>
      <c r="E139" t="s">
        <v>13</v>
      </c>
      <c r="F139" t="s">
        <v>14</v>
      </c>
      <c r="G139">
        <v>50</v>
      </c>
    </row>
    <row r="140" spans="1:7" x14ac:dyDescent="0.2">
      <c r="A140">
        <f t="shared" si="3"/>
        <v>12</v>
      </c>
      <c r="B140" t="s">
        <v>6</v>
      </c>
      <c r="C140">
        <f>IF(data!$B140&lt;&gt;data!$B139,1,C139+1)</f>
        <v>7</v>
      </c>
      <c r="D140">
        <v>17.800000000000004</v>
      </c>
      <c r="E140" t="s">
        <v>13</v>
      </c>
      <c r="F140" t="s">
        <v>14</v>
      </c>
      <c r="G140">
        <v>50</v>
      </c>
    </row>
    <row r="141" spans="1:7" x14ac:dyDescent="0.2">
      <c r="A141">
        <f t="shared" si="3"/>
        <v>12</v>
      </c>
      <c r="B141" t="s">
        <v>6</v>
      </c>
      <c r="C141">
        <f>IF(data!$B141&lt;&gt;data!$B140,1,C140+1)</f>
        <v>8</v>
      </c>
      <c r="D141">
        <v>16.600000000000005</v>
      </c>
      <c r="E141" t="s">
        <v>13</v>
      </c>
      <c r="F141" t="s">
        <v>14</v>
      </c>
      <c r="G141">
        <v>50</v>
      </c>
    </row>
    <row r="142" spans="1:7" x14ac:dyDescent="0.2">
      <c r="A142">
        <f t="shared" si="3"/>
        <v>12</v>
      </c>
      <c r="B142" t="s">
        <v>6</v>
      </c>
      <c r="C142">
        <f>IF(data!$B142&lt;&gt;data!$B141,1,C141+1)</f>
        <v>9</v>
      </c>
      <c r="D142">
        <v>15.400000000000006</v>
      </c>
      <c r="E142" t="s">
        <v>13</v>
      </c>
      <c r="F142" t="s">
        <v>14</v>
      </c>
      <c r="G142">
        <v>50</v>
      </c>
    </row>
    <row r="143" spans="1:7" x14ac:dyDescent="0.2">
      <c r="A143">
        <f t="shared" si="3"/>
        <v>12</v>
      </c>
      <c r="B143" t="s">
        <v>6</v>
      </c>
      <c r="C143">
        <f>IF(data!$B143&lt;&gt;data!$B142,1,C142+1)</f>
        <v>10</v>
      </c>
      <c r="D143">
        <v>14.200000000000006</v>
      </c>
      <c r="E143" t="s">
        <v>13</v>
      </c>
      <c r="F143" t="s">
        <v>14</v>
      </c>
      <c r="G143">
        <v>50</v>
      </c>
    </row>
    <row r="144" spans="1:7" x14ac:dyDescent="0.2">
      <c r="A144">
        <f t="shared" si="3"/>
        <v>12</v>
      </c>
      <c r="B144" t="s">
        <v>6</v>
      </c>
      <c r="C144">
        <f>IF(data!$B144&lt;&gt;data!$B143,1,C143+1)</f>
        <v>11</v>
      </c>
      <c r="D144">
        <v>13.000000000000007</v>
      </c>
      <c r="E144" t="s">
        <v>13</v>
      </c>
      <c r="F144" t="s">
        <v>14</v>
      </c>
      <c r="G144">
        <v>50</v>
      </c>
    </row>
    <row r="145" spans="1:7" x14ac:dyDescent="0.2">
      <c r="A145">
        <f t="shared" si="3"/>
        <v>12</v>
      </c>
      <c r="B145" t="s">
        <v>6</v>
      </c>
      <c r="C145">
        <f>IF(data!$B145&lt;&gt;data!$B144,1,C144+1)</f>
        <v>12</v>
      </c>
      <c r="D145">
        <v>11.800000000000008</v>
      </c>
      <c r="E145" t="s">
        <v>13</v>
      </c>
      <c r="F145" t="s">
        <v>14</v>
      </c>
      <c r="G145">
        <v>50</v>
      </c>
    </row>
    <row r="146" spans="1:7" x14ac:dyDescent="0.2">
      <c r="A146">
        <f t="shared" si="3"/>
        <v>13</v>
      </c>
      <c r="B146" t="s">
        <v>5</v>
      </c>
      <c r="C146">
        <f>IF(data!$B146&lt;&gt;data!$B145,1,C145+1)</f>
        <v>1</v>
      </c>
      <c r="D146">
        <v>22</v>
      </c>
      <c r="E146" t="s">
        <v>7</v>
      </c>
      <c r="F146" t="s">
        <v>12</v>
      </c>
      <c r="G146">
        <v>50</v>
      </c>
    </row>
    <row r="147" spans="1:7" x14ac:dyDescent="0.2">
      <c r="A147">
        <f t="shared" si="3"/>
        <v>13</v>
      </c>
      <c r="B147" t="s">
        <v>5</v>
      </c>
      <c r="C147">
        <f>IF(data!$B147&lt;&gt;data!$B146,1,C146+1)</f>
        <v>2</v>
      </c>
      <c r="D147">
        <v>20.698970004336019</v>
      </c>
      <c r="E147" t="s">
        <v>7</v>
      </c>
      <c r="F147" t="s">
        <v>12</v>
      </c>
      <c r="G147">
        <v>50</v>
      </c>
    </row>
    <row r="148" spans="1:7" x14ac:dyDescent="0.2">
      <c r="A148">
        <f t="shared" si="3"/>
        <v>13</v>
      </c>
      <c r="B148" t="s">
        <v>5</v>
      </c>
      <c r="C148">
        <f>IF(data!$B148&lt;&gt;data!$B147,1,C147+1)</f>
        <v>3</v>
      </c>
      <c r="D148">
        <v>19.522878745280337</v>
      </c>
      <c r="E148" t="s">
        <v>7</v>
      </c>
      <c r="F148" t="s">
        <v>12</v>
      </c>
      <c r="G148">
        <v>50</v>
      </c>
    </row>
    <row r="149" spans="1:7" x14ac:dyDescent="0.2">
      <c r="A149">
        <f t="shared" si="3"/>
        <v>13</v>
      </c>
      <c r="B149" t="s">
        <v>5</v>
      </c>
      <c r="C149">
        <f>IF(data!$B149&lt;&gt;data!$B148,1,C148+1)</f>
        <v>4</v>
      </c>
      <c r="D149">
        <v>18.397940008672037</v>
      </c>
      <c r="E149" t="s">
        <v>7</v>
      </c>
      <c r="F149" t="s">
        <v>12</v>
      </c>
      <c r="G149">
        <v>50</v>
      </c>
    </row>
    <row r="150" spans="1:7" x14ac:dyDescent="0.2">
      <c r="A150">
        <f t="shared" si="3"/>
        <v>13</v>
      </c>
      <c r="B150" t="s">
        <v>5</v>
      </c>
      <c r="C150">
        <f>IF(data!$B150&lt;&gt;data!$B149,1,C149+1)</f>
        <v>5</v>
      </c>
      <c r="D150">
        <v>17.301029995663981</v>
      </c>
      <c r="E150" t="s">
        <v>7</v>
      </c>
      <c r="F150" t="s">
        <v>12</v>
      </c>
      <c r="G150">
        <v>50</v>
      </c>
    </row>
    <row r="151" spans="1:7" x14ac:dyDescent="0.2">
      <c r="A151">
        <f t="shared" si="3"/>
        <v>13</v>
      </c>
      <c r="B151" t="s">
        <v>5</v>
      </c>
      <c r="C151">
        <f>IF(data!$B151&lt;&gt;data!$B150,1,C150+1)</f>
        <v>6</v>
      </c>
      <c r="D151">
        <v>16.221848749616356</v>
      </c>
      <c r="E151" t="s">
        <v>7</v>
      </c>
      <c r="F151" t="s">
        <v>12</v>
      </c>
      <c r="G151">
        <v>50</v>
      </c>
    </row>
    <row r="152" spans="1:7" x14ac:dyDescent="0.2">
      <c r="A152">
        <f t="shared" si="3"/>
        <v>13</v>
      </c>
      <c r="B152" t="s">
        <v>5</v>
      </c>
      <c r="C152">
        <f>IF(data!$B152&lt;&gt;data!$B151,1,C151+1)</f>
        <v>7</v>
      </c>
      <c r="D152">
        <v>15.154901959985743</v>
      </c>
      <c r="E152" t="s">
        <v>7</v>
      </c>
      <c r="F152" t="s">
        <v>12</v>
      </c>
      <c r="G152">
        <v>50</v>
      </c>
    </row>
    <row r="153" spans="1:7" x14ac:dyDescent="0.2">
      <c r="A153">
        <f t="shared" si="3"/>
        <v>13</v>
      </c>
      <c r="B153" t="s">
        <v>5</v>
      </c>
      <c r="C153">
        <f>IF(data!$B153&lt;&gt;data!$B152,1,C152+1)</f>
        <v>8</v>
      </c>
      <c r="D153">
        <v>14.096910013008056</v>
      </c>
      <c r="E153" t="s">
        <v>7</v>
      </c>
      <c r="F153" t="s">
        <v>12</v>
      </c>
      <c r="G153">
        <v>50</v>
      </c>
    </row>
    <row r="154" spans="1:7" x14ac:dyDescent="0.2">
      <c r="A154">
        <f t="shared" si="3"/>
        <v>13</v>
      </c>
      <c r="B154" t="s">
        <v>5</v>
      </c>
      <c r="C154">
        <f>IF(data!$B154&lt;&gt;data!$B153,1,C153+1)</f>
        <v>9</v>
      </c>
      <c r="D154">
        <v>13.045757490560675</v>
      </c>
      <c r="E154" t="s">
        <v>7</v>
      </c>
      <c r="F154" t="s">
        <v>12</v>
      </c>
      <c r="G154">
        <v>50</v>
      </c>
    </row>
    <row r="155" spans="1:7" x14ac:dyDescent="0.2">
      <c r="A155">
        <f t="shared" si="3"/>
        <v>13</v>
      </c>
      <c r="B155" t="s">
        <v>5</v>
      </c>
      <c r="C155">
        <f>IF(data!$B155&lt;&gt;data!$B154,1,C154+1)</f>
        <v>10</v>
      </c>
      <c r="D155">
        <v>12</v>
      </c>
      <c r="E155" t="s">
        <v>7</v>
      </c>
      <c r="F155" t="s">
        <v>12</v>
      </c>
      <c r="G155">
        <v>50</v>
      </c>
    </row>
    <row r="156" spans="1:7" x14ac:dyDescent="0.2">
      <c r="A156">
        <f t="shared" si="3"/>
        <v>13</v>
      </c>
      <c r="B156" t="s">
        <v>5</v>
      </c>
      <c r="C156">
        <f>IF(data!$B156&lt;&gt;data!$B155,1,C155+1)</f>
        <v>11</v>
      </c>
      <c r="D156">
        <v>10.958607314841775</v>
      </c>
      <c r="E156" t="s">
        <v>7</v>
      </c>
      <c r="F156" t="s">
        <v>12</v>
      </c>
      <c r="G156">
        <v>50</v>
      </c>
    </row>
    <row r="157" spans="1:7" x14ac:dyDescent="0.2">
      <c r="A157">
        <f t="shared" si="3"/>
        <v>13</v>
      </c>
      <c r="B157" t="s">
        <v>5</v>
      </c>
      <c r="C157">
        <f>IF(data!$B157&lt;&gt;data!$B156,1,C156+1)</f>
        <v>12</v>
      </c>
      <c r="D157">
        <v>9.9208187539523749</v>
      </c>
      <c r="E157" t="s">
        <v>7</v>
      </c>
      <c r="F157" t="s">
        <v>12</v>
      </c>
      <c r="G157">
        <v>50</v>
      </c>
    </row>
    <row r="158" spans="1:7" x14ac:dyDescent="0.2">
      <c r="A158">
        <f t="shared" si="3"/>
        <v>14</v>
      </c>
      <c r="B158" t="s">
        <v>6</v>
      </c>
      <c r="C158">
        <f>IF(data!$B158&lt;&gt;data!$B157,1,C157+1)</f>
        <v>1</v>
      </c>
      <c r="D158">
        <v>24</v>
      </c>
      <c r="E158" t="s">
        <v>7</v>
      </c>
      <c r="F158" t="s">
        <v>12</v>
      </c>
      <c r="G158">
        <v>50</v>
      </c>
    </row>
    <row r="159" spans="1:7" x14ac:dyDescent="0.2">
      <c r="A159">
        <f t="shared" si="3"/>
        <v>14</v>
      </c>
      <c r="B159" t="s">
        <v>6</v>
      </c>
      <c r="C159">
        <f>IF(data!$B159&lt;&gt;data!$B158,1,C158+1)</f>
        <v>2</v>
      </c>
      <c r="D159">
        <v>22.198970004336019</v>
      </c>
      <c r="E159" t="s">
        <v>7</v>
      </c>
      <c r="F159" t="s">
        <v>12</v>
      </c>
      <c r="G159">
        <v>50</v>
      </c>
    </row>
    <row r="160" spans="1:7" x14ac:dyDescent="0.2">
      <c r="A160">
        <f t="shared" si="3"/>
        <v>14</v>
      </c>
      <c r="B160" t="s">
        <v>6</v>
      </c>
      <c r="C160">
        <f>IF(data!$B160&lt;&gt;data!$B159,1,C159+1)</f>
        <v>3</v>
      </c>
      <c r="D160">
        <v>20.522878745280337</v>
      </c>
      <c r="E160" t="s">
        <v>7</v>
      </c>
      <c r="F160" t="s">
        <v>12</v>
      </c>
      <c r="G160">
        <v>50</v>
      </c>
    </row>
    <row r="161" spans="1:7" x14ac:dyDescent="0.2">
      <c r="A161">
        <f t="shared" si="3"/>
        <v>14</v>
      </c>
      <c r="B161" t="s">
        <v>6</v>
      </c>
      <c r="C161">
        <f>IF(data!$B161&lt;&gt;data!$B160,1,C160+1)</f>
        <v>4</v>
      </c>
      <c r="D161">
        <v>18.897940008672037</v>
      </c>
      <c r="E161" t="s">
        <v>7</v>
      </c>
      <c r="F161" t="s">
        <v>12</v>
      </c>
      <c r="G161">
        <v>50</v>
      </c>
    </row>
    <row r="162" spans="1:7" x14ac:dyDescent="0.2">
      <c r="A162">
        <f t="shared" ref="A162:A225" si="4">IF(B162=B161,A161,A161+1)</f>
        <v>14</v>
      </c>
      <c r="B162" t="s">
        <v>6</v>
      </c>
      <c r="C162">
        <f>IF(data!$B162&lt;&gt;data!$B161,1,C161+1)</f>
        <v>5</v>
      </c>
      <c r="D162">
        <v>17.301029995663981</v>
      </c>
      <c r="E162" t="s">
        <v>7</v>
      </c>
      <c r="F162" t="s">
        <v>12</v>
      </c>
      <c r="G162">
        <v>50</v>
      </c>
    </row>
    <row r="163" spans="1:7" x14ac:dyDescent="0.2">
      <c r="A163">
        <f t="shared" si="4"/>
        <v>14</v>
      </c>
      <c r="B163" t="s">
        <v>6</v>
      </c>
      <c r="C163">
        <f>IF(data!$B163&lt;&gt;data!$B162,1,C162+1)</f>
        <v>6</v>
      </c>
      <c r="D163">
        <v>15.721848749616356</v>
      </c>
      <c r="E163" t="s">
        <v>7</v>
      </c>
      <c r="F163" t="s">
        <v>12</v>
      </c>
      <c r="G163">
        <v>50</v>
      </c>
    </row>
    <row r="164" spans="1:7" x14ac:dyDescent="0.2">
      <c r="A164">
        <f t="shared" si="4"/>
        <v>14</v>
      </c>
      <c r="B164" t="s">
        <v>6</v>
      </c>
      <c r="C164">
        <f>IF(data!$B164&lt;&gt;data!$B163,1,C163+1)</f>
        <v>7</v>
      </c>
      <c r="D164">
        <v>14.154901959985743</v>
      </c>
      <c r="E164" t="s">
        <v>7</v>
      </c>
      <c r="F164" t="s">
        <v>12</v>
      </c>
      <c r="G164">
        <v>50</v>
      </c>
    </row>
    <row r="165" spans="1:7" x14ac:dyDescent="0.2">
      <c r="A165">
        <f t="shared" si="4"/>
        <v>14</v>
      </c>
      <c r="B165" t="s">
        <v>6</v>
      </c>
      <c r="C165">
        <f>IF(data!$B165&lt;&gt;data!$B164,1,C164+1)</f>
        <v>8</v>
      </c>
      <c r="D165">
        <v>12.596910013008056</v>
      </c>
      <c r="E165" t="s">
        <v>7</v>
      </c>
      <c r="F165" t="s">
        <v>12</v>
      </c>
      <c r="G165">
        <v>50</v>
      </c>
    </row>
    <row r="166" spans="1:7" x14ac:dyDescent="0.2">
      <c r="A166">
        <f t="shared" si="4"/>
        <v>14</v>
      </c>
      <c r="B166" t="s">
        <v>6</v>
      </c>
      <c r="C166">
        <f>IF(data!$B166&lt;&gt;data!$B165,1,C165+1)</f>
        <v>9</v>
      </c>
      <c r="D166">
        <v>11.045757490560675</v>
      </c>
      <c r="E166" t="s">
        <v>7</v>
      </c>
      <c r="F166" t="s">
        <v>12</v>
      </c>
      <c r="G166">
        <v>50</v>
      </c>
    </row>
    <row r="167" spans="1:7" x14ac:dyDescent="0.2">
      <c r="A167">
        <f t="shared" si="4"/>
        <v>14</v>
      </c>
      <c r="B167" t="s">
        <v>6</v>
      </c>
      <c r="C167">
        <f>IF(data!$B167&lt;&gt;data!$B166,1,C166+1)</f>
        <v>10</v>
      </c>
      <c r="D167">
        <v>9.5</v>
      </c>
      <c r="E167" t="s">
        <v>7</v>
      </c>
      <c r="F167" t="s">
        <v>12</v>
      </c>
      <c r="G167">
        <v>50</v>
      </c>
    </row>
    <row r="168" spans="1:7" x14ac:dyDescent="0.2">
      <c r="A168">
        <f t="shared" si="4"/>
        <v>14</v>
      </c>
      <c r="B168" t="s">
        <v>6</v>
      </c>
      <c r="C168">
        <f>IF(data!$B168&lt;&gt;data!$B167,1,C167+1)</f>
        <v>11</v>
      </c>
      <c r="D168">
        <v>7.9586073148417746</v>
      </c>
      <c r="E168" t="s">
        <v>7</v>
      </c>
      <c r="F168" t="s">
        <v>12</v>
      </c>
      <c r="G168">
        <v>50</v>
      </c>
    </row>
    <row r="169" spans="1:7" x14ac:dyDescent="0.2">
      <c r="A169">
        <f t="shared" si="4"/>
        <v>14</v>
      </c>
      <c r="B169" t="s">
        <v>6</v>
      </c>
      <c r="C169">
        <f>IF(data!$B169&lt;&gt;data!$B168,1,C168+1)</f>
        <v>12</v>
      </c>
      <c r="D169">
        <v>6.4208187539523749</v>
      </c>
      <c r="E169" t="s">
        <v>7</v>
      </c>
      <c r="F169" t="s">
        <v>12</v>
      </c>
      <c r="G169">
        <v>50</v>
      </c>
    </row>
    <row r="170" spans="1:7" x14ac:dyDescent="0.2">
      <c r="A170">
        <f t="shared" si="4"/>
        <v>15</v>
      </c>
      <c r="B170" t="s">
        <v>5</v>
      </c>
      <c r="C170">
        <f>IF(data!$B170&lt;&gt;data!$B169,1,C169+1)</f>
        <v>1</v>
      </c>
      <c r="D170">
        <v>23</v>
      </c>
      <c r="E170" t="s">
        <v>13</v>
      </c>
      <c r="F170" t="s">
        <v>12</v>
      </c>
      <c r="G170">
        <v>50</v>
      </c>
    </row>
    <row r="171" spans="1:7" x14ac:dyDescent="0.2">
      <c r="A171">
        <f t="shared" si="4"/>
        <v>15</v>
      </c>
      <c r="B171" t="s">
        <v>5</v>
      </c>
      <c r="C171">
        <f>IF(data!$B171&lt;&gt;data!$B170,1,C170+1)</f>
        <v>2</v>
      </c>
      <c r="D171">
        <v>22.198970004336019</v>
      </c>
      <c r="E171" t="s">
        <v>13</v>
      </c>
      <c r="F171" t="s">
        <v>12</v>
      </c>
      <c r="G171">
        <v>50</v>
      </c>
    </row>
    <row r="172" spans="1:7" x14ac:dyDescent="0.2">
      <c r="A172">
        <f t="shared" si="4"/>
        <v>15</v>
      </c>
      <c r="B172" t="s">
        <v>5</v>
      </c>
      <c r="C172">
        <f>IF(data!$B172&lt;&gt;data!$B171,1,C171+1)</f>
        <v>3</v>
      </c>
      <c r="D172">
        <v>21.522878745280337</v>
      </c>
      <c r="E172" t="s">
        <v>13</v>
      </c>
      <c r="F172" t="s">
        <v>12</v>
      </c>
      <c r="G172">
        <v>50</v>
      </c>
    </row>
    <row r="173" spans="1:7" x14ac:dyDescent="0.2">
      <c r="A173">
        <f t="shared" si="4"/>
        <v>15</v>
      </c>
      <c r="B173" t="s">
        <v>5</v>
      </c>
      <c r="C173">
        <f>IF(data!$B173&lt;&gt;data!$B172,1,C172+1)</f>
        <v>4</v>
      </c>
      <c r="D173">
        <v>20.897940008672037</v>
      </c>
      <c r="E173" t="s">
        <v>13</v>
      </c>
      <c r="F173" t="s">
        <v>12</v>
      </c>
      <c r="G173">
        <v>50</v>
      </c>
    </row>
    <row r="174" spans="1:7" x14ac:dyDescent="0.2">
      <c r="A174">
        <f t="shared" si="4"/>
        <v>15</v>
      </c>
      <c r="B174" t="s">
        <v>5</v>
      </c>
      <c r="C174">
        <f>IF(data!$B174&lt;&gt;data!$B173,1,C173+1)</f>
        <v>5</v>
      </c>
      <c r="D174">
        <v>20.301029995663981</v>
      </c>
      <c r="E174" t="s">
        <v>13</v>
      </c>
      <c r="F174" t="s">
        <v>12</v>
      </c>
      <c r="G174">
        <v>50</v>
      </c>
    </row>
    <row r="175" spans="1:7" x14ac:dyDescent="0.2">
      <c r="A175">
        <f t="shared" si="4"/>
        <v>15</v>
      </c>
      <c r="B175" t="s">
        <v>5</v>
      </c>
      <c r="C175">
        <f>IF(data!$B175&lt;&gt;data!$B174,1,C174+1)</f>
        <v>6</v>
      </c>
      <c r="D175">
        <v>19.721848749616356</v>
      </c>
      <c r="E175" t="s">
        <v>13</v>
      </c>
      <c r="F175" t="s">
        <v>12</v>
      </c>
      <c r="G175">
        <v>50</v>
      </c>
    </row>
    <row r="176" spans="1:7" x14ac:dyDescent="0.2">
      <c r="A176">
        <f t="shared" si="4"/>
        <v>15</v>
      </c>
      <c r="B176" t="s">
        <v>5</v>
      </c>
      <c r="C176">
        <f>IF(data!$B176&lt;&gt;data!$B175,1,C175+1)</f>
        <v>7</v>
      </c>
      <c r="D176">
        <v>19.154901959985743</v>
      </c>
      <c r="E176" t="s">
        <v>13</v>
      </c>
      <c r="F176" t="s">
        <v>12</v>
      </c>
      <c r="G176">
        <v>50</v>
      </c>
    </row>
    <row r="177" spans="1:7" x14ac:dyDescent="0.2">
      <c r="A177">
        <f t="shared" si="4"/>
        <v>15</v>
      </c>
      <c r="B177" t="s">
        <v>5</v>
      </c>
      <c r="C177">
        <f>IF(data!$B177&lt;&gt;data!$B176,1,C176+1)</f>
        <v>8</v>
      </c>
      <c r="D177">
        <v>18.596910013008056</v>
      </c>
      <c r="E177" t="s">
        <v>13</v>
      </c>
      <c r="F177" t="s">
        <v>12</v>
      </c>
      <c r="G177">
        <v>50</v>
      </c>
    </row>
    <row r="178" spans="1:7" x14ac:dyDescent="0.2">
      <c r="A178">
        <f t="shared" si="4"/>
        <v>15</v>
      </c>
      <c r="B178" t="s">
        <v>5</v>
      </c>
      <c r="C178">
        <f>IF(data!$B178&lt;&gt;data!$B177,1,C177+1)</f>
        <v>9</v>
      </c>
      <c r="D178">
        <v>18.045757490560675</v>
      </c>
      <c r="E178" t="s">
        <v>13</v>
      </c>
      <c r="F178" t="s">
        <v>12</v>
      </c>
      <c r="G178">
        <v>50</v>
      </c>
    </row>
    <row r="179" spans="1:7" x14ac:dyDescent="0.2">
      <c r="A179">
        <f t="shared" si="4"/>
        <v>15</v>
      </c>
      <c r="B179" t="s">
        <v>5</v>
      </c>
      <c r="C179">
        <f>IF(data!$B179&lt;&gt;data!$B178,1,C178+1)</f>
        <v>10</v>
      </c>
      <c r="D179">
        <v>17.5</v>
      </c>
      <c r="E179" t="s">
        <v>13</v>
      </c>
      <c r="F179" t="s">
        <v>12</v>
      </c>
      <c r="G179">
        <v>50</v>
      </c>
    </row>
    <row r="180" spans="1:7" x14ac:dyDescent="0.2">
      <c r="A180">
        <f t="shared" si="4"/>
        <v>15</v>
      </c>
      <c r="B180" t="s">
        <v>5</v>
      </c>
      <c r="C180">
        <f>IF(data!$B180&lt;&gt;data!$B179,1,C179+1)</f>
        <v>11</v>
      </c>
      <c r="D180">
        <v>16.958607314841775</v>
      </c>
      <c r="E180" t="s">
        <v>13</v>
      </c>
      <c r="F180" t="s">
        <v>12</v>
      </c>
      <c r="G180">
        <v>50</v>
      </c>
    </row>
    <row r="181" spans="1:7" x14ac:dyDescent="0.2">
      <c r="A181">
        <f t="shared" si="4"/>
        <v>15</v>
      </c>
      <c r="B181" t="s">
        <v>5</v>
      </c>
      <c r="C181">
        <f>IF(data!$B181&lt;&gt;data!$B180,1,C180+1)</f>
        <v>12</v>
      </c>
      <c r="D181">
        <v>16.420818753952375</v>
      </c>
      <c r="E181" t="s">
        <v>13</v>
      </c>
      <c r="F181" t="s">
        <v>12</v>
      </c>
      <c r="G181">
        <v>50</v>
      </c>
    </row>
    <row r="182" spans="1:7" x14ac:dyDescent="0.2">
      <c r="A182">
        <f t="shared" si="4"/>
        <v>16</v>
      </c>
      <c r="B182" t="s">
        <v>6</v>
      </c>
      <c r="C182">
        <f>IF(data!$B182&lt;&gt;data!$B181,1,C181+1)</f>
        <v>1</v>
      </c>
      <c r="D182">
        <v>25</v>
      </c>
      <c r="E182" t="s">
        <v>13</v>
      </c>
      <c r="F182" t="s">
        <v>12</v>
      </c>
      <c r="G182">
        <v>50</v>
      </c>
    </row>
    <row r="183" spans="1:7" x14ac:dyDescent="0.2">
      <c r="A183">
        <f t="shared" si="4"/>
        <v>16</v>
      </c>
      <c r="B183" t="s">
        <v>6</v>
      </c>
      <c r="C183">
        <f>IF(data!$B183&lt;&gt;data!$B182,1,C182+1)</f>
        <v>2</v>
      </c>
      <c r="D183">
        <v>23.498970004336019</v>
      </c>
      <c r="E183" t="s">
        <v>13</v>
      </c>
      <c r="F183" t="s">
        <v>12</v>
      </c>
      <c r="G183">
        <v>50</v>
      </c>
    </row>
    <row r="184" spans="1:7" x14ac:dyDescent="0.2">
      <c r="A184">
        <f t="shared" si="4"/>
        <v>16</v>
      </c>
      <c r="B184" t="s">
        <v>6</v>
      </c>
      <c r="C184">
        <f>IF(data!$B184&lt;&gt;data!$B183,1,C183+1)</f>
        <v>3</v>
      </c>
      <c r="D184">
        <v>22.122878745280339</v>
      </c>
      <c r="E184" t="s">
        <v>13</v>
      </c>
      <c r="F184" t="s">
        <v>12</v>
      </c>
      <c r="G184">
        <v>50</v>
      </c>
    </row>
    <row r="185" spans="1:7" x14ac:dyDescent="0.2">
      <c r="A185">
        <f t="shared" si="4"/>
        <v>16</v>
      </c>
      <c r="B185" t="s">
        <v>6</v>
      </c>
      <c r="C185">
        <f>IF(data!$B185&lt;&gt;data!$B184,1,C184+1)</f>
        <v>4</v>
      </c>
      <c r="D185">
        <v>20.79794000867204</v>
      </c>
      <c r="E185" t="s">
        <v>13</v>
      </c>
      <c r="F185" t="s">
        <v>12</v>
      </c>
      <c r="G185">
        <v>50</v>
      </c>
    </row>
    <row r="186" spans="1:7" x14ac:dyDescent="0.2">
      <c r="A186">
        <f t="shared" si="4"/>
        <v>16</v>
      </c>
      <c r="B186" t="s">
        <v>6</v>
      </c>
      <c r="C186">
        <f>IF(data!$B186&lt;&gt;data!$B185,1,C185+1)</f>
        <v>5</v>
      </c>
      <c r="D186">
        <v>19.501029995663984</v>
      </c>
      <c r="E186" t="s">
        <v>13</v>
      </c>
      <c r="F186" t="s">
        <v>12</v>
      </c>
      <c r="G186">
        <v>50</v>
      </c>
    </row>
    <row r="187" spans="1:7" x14ac:dyDescent="0.2">
      <c r="A187">
        <f t="shared" si="4"/>
        <v>16</v>
      </c>
      <c r="B187" t="s">
        <v>6</v>
      </c>
      <c r="C187">
        <f>IF(data!$B187&lt;&gt;data!$B186,1,C186+1)</f>
        <v>6</v>
      </c>
      <c r="D187">
        <v>18.22184874961636</v>
      </c>
      <c r="E187" t="s">
        <v>13</v>
      </c>
      <c r="F187" t="s">
        <v>12</v>
      </c>
      <c r="G187">
        <v>50</v>
      </c>
    </row>
    <row r="188" spans="1:7" x14ac:dyDescent="0.2">
      <c r="A188">
        <f t="shared" si="4"/>
        <v>16</v>
      </c>
      <c r="B188" t="s">
        <v>6</v>
      </c>
      <c r="C188">
        <f>IF(data!$B188&lt;&gt;data!$B187,1,C187+1)</f>
        <v>7</v>
      </c>
      <c r="D188">
        <v>16.954901959985747</v>
      </c>
      <c r="E188" t="s">
        <v>13</v>
      </c>
      <c r="F188" t="s">
        <v>12</v>
      </c>
      <c r="G188">
        <v>50</v>
      </c>
    </row>
    <row r="189" spans="1:7" x14ac:dyDescent="0.2">
      <c r="A189">
        <f t="shared" si="4"/>
        <v>16</v>
      </c>
      <c r="B189" t="s">
        <v>6</v>
      </c>
      <c r="C189">
        <f>IF(data!$B189&lt;&gt;data!$B188,1,C188+1)</f>
        <v>8</v>
      </c>
      <c r="D189">
        <v>15.696910013008061</v>
      </c>
      <c r="E189" t="s">
        <v>13</v>
      </c>
      <c r="F189" t="s">
        <v>12</v>
      </c>
      <c r="G189">
        <v>50</v>
      </c>
    </row>
    <row r="190" spans="1:7" x14ac:dyDescent="0.2">
      <c r="A190">
        <f t="shared" si="4"/>
        <v>16</v>
      </c>
      <c r="B190" t="s">
        <v>6</v>
      </c>
      <c r="C190">
        <f>IF(data!$B190&lt;&gt;data!$B189,1,C189+1)</f>
        <v>9</v>
      </c>
      <c r="D190">
        <v>14.44575749056068</v>
      </c>
      <c r="E190" t="s">
        <v>13</v>
      </c>
      <c r="F190" t="s">
        <v>12</v>
      </c>
      <c r="G190">
        <v>50</v>
      </c>
    </row>
    <row r="191" spans="1:7" x14ac:dyDescent="0.2">
      <c r="A191">
        <f t="shared" si="4"/>
        <v>16</v>
      </c>
      <c r="B191" t="s">
        <v>6</v>
      </c>
      <c r="C191">
        <f>IF(data!$B191&lt;&gt;data!$B190,1,C190+1)</f>
        <v>10</v>
      </c>
      <c r="D191">
        <v>13.200000000000006</v>
      </c>
      <c r="E191" t="s">
        <v>13</v>
      </c>
      <c r="F191" t="s">
        <v>12</v>
      </c>
      <c r="G191">
        <v>50</v>
      </c>
    </row>
    <row r="192" spans="1:7" x14ac:dyDescent="0.2">
      <c r="A192">
        <f t="shared" si="4"/>
        <v>16</v>
      </c>
      <c r="B192" t="s">
        <v>6</v>
      </c>
      <c r="C192">
        <f>IF(data!$B192&lt;&gt;data!$B191,1,C191+1)</f>
        <v>11</v>
      </c>
      <c r="D192">
        <v>11.958607314841782</v>
      </c>
      <c r="E192" t="s">
        <v>13</v>
      </c>
      <c r="F192" t="s">
        <v>12</v>
      </c>
      <c r="G192">
        <v>50</v>
      </c>
    </row>
    <row r="193" spans="1:7" x14ac:dyDescent="0.2">
      <c r="A193">
        <f t="shared" si="4"/>
        <v>16</v>
      </c>
      <c r="B193" t="s">
        <v>6</v>
      </c>
      <c r="C193">
        <f>IF(data!$B193&lt;&gt;data!$B192,1,C192+1)</f>
        <v>12</v>
      </c>
      <c r="D193">
        <v>10.720818753952383</v>
      </c>
      <c r="E193" t="s">
        <v>13</v>
      </c>
      <c r="F193" t="s">
        <v>12</v>
      </c>
      <c r="G193">
        <v>50</v>
      </c>
    </row>
    <row r="194" spans="1:7" x14ac:dyDescent="0.2">
      <c r="A194">
        <f t="shared" si="4"/>
        <v>17</v>
      </c>
      <c r="B194" t="s">
        <v>5</v>
      </c>
      <c r="C194">
        <f>IF(data!$B194&lt;&gt;data!$B193,1,C193+1)</f>
        <v>1</v>
      </c>
      <c r="D194">
        <v>20</v>
      </c>
      <c r="E194" t="s">
        <v>7</v>
      </c>
      <c r="F194" t="s">
        <v>14</v>
      </c>
      <c r="G194">
        <v>50</v>
      </c>
    </row>
    <row r="195" spans="1:7" x14ac:dyDescent="0.2">
      <c r="A195">
        <f t="shared" si="4"/>
        <v>17</v>
      </c>
      <c r="B195" t="s">
        <v>5</v>
      </c>
      <c r="C195">
        <f>IF(data!$B195&lt;&gt;data!$B194,1,C194+1)</f>
        <v>2</v>
      </c>
      <c r="D195">
        <v>19</v>
      </c>
      <c r="E195" t="s">
        <v>7</v>
      </c>
      <c r="F195" t="s">
        <v>14</v>
      </c>
      <c r="G195">
        <v>50</v>
      </c>
    </row>
    <row r="196" spans="1:7" x14ac:dyDescent="0.2">
      <c r="A196">
        <f t="shared" si="4"/>
        <v>17</v>
      </c>
      <c r="B196" t="s">
        <v>5</v>
      </c>
      <c r="C196">
        <f>IF(data!$B196&lt;&gt;data!$B195,1,C195+1)</f>
        <v>3</v>
      </c>
      <c r="D196">
        <v>18</v>
      </c>
      <c r="E196" t="s">
        <v>7</v>
      </c>
      <c r="F196" t="s">
        <v>14</v>
      </c>
      <c r="G196">
        <v>50</v>
      </c>
    </row>
    <row r="197" spans="1:7" x14ac:dyDescent="0.2">
      <c r="A197">
        <f t="shared" si="4"/>
        <v>17</v>
      </c>
      <c r="B197" t="s">
        <v>5</v>
      </c>
      <c r="C197">
        <f>IF(data!$B197&lt;&gt;data!$B196,1,C196+1)</f>
        <v>4</v>
      </c>
      <c r="D197">
        <v>17</v>
      </c>
      <c r="E197" t="s">
        <v>7</v>
      </c>
      <c r="F197" t="s">
        <v>14</v>
      </c>
      <c r="G197">
        <v>50</v>
      </c>
    </row>
    <row r="198" spans="1:7" x14ac:dyDescent="0.2">
      <c r="A198">
        <f t="shared" si="4"/>
        <v>17</v>
      </c>
      <c r="B198" t="s">
        <v>5</v>
      </c>
      <c r="C198">
        <f>IF(data!$B198&lt;&gt;data!$B197,1,C197+1)</f>
        <v>5</v>
      </c>
      <c r="D198">
        <v>16</v>
      </c>
      <c r="E198" t="s">
        <v>7</v>
      </c>
      <c r="F198" t="s">
        <v>14</v>
      </c>
      <c r="G198">
        <v>50</v>
      </c>
    </row>
    <row r="199" spans="1:7" x14ac:dyDescent="0.2">
      <c r="A199">
        <f t="shared" si="4"/>
        <v>17</v>
      </c>
      <c r="B199" t="s">
        <v>5</v>
      </c>
      <c r="C199">
        <f>IF(data!$B199&lt;&gt;data!$B198,1,C198+1)</f>
        <v>6</v>
      </c>
      <c r="D199">
        <v>15</v>
      </c>
      <c r="E199" t="s">
        <v>7</v>
      </c>
      <c r="F199" t="s">
        <v>14</v>
      </c>
      <c r="G199">
        <v>50</v>
      </c>
    </row>
    <row r="200" spans="1:7" x14ac:dyDescent="0.2">
      <c r="A200">
        <f t="shared" si="4"/>
        <v>17</v>
      </c>
      <c r="B200" t="s">
        <v>5</v>
      </c>
      <c r="C200">
        <f>IF(data!$B200&lt;&gt;data!$B199,1,C199+1)</f>
        <v>7</v>
      </c>
      <c r="D200">
        <v>14</v>
      </c>
      <c r="E200" t="s">
        <v>7</v>
      </c>
      <c r="F200" t="s">
        <v>14</v>
      </c>
      <c r="G200">
        <v>50</v>
      </c>
    </row>
    <row r="201" spans="1:7" x14ac:dyDescent="0.2">
      <c r="A201">
        <f t="shared" si="4"/>
        <v>17</v>
      </c>
      <c r="B201" t="s">
        <v>5</v>
      </c>
      <c r="C201">
        <f>IF(data!$B201&lt;&gt;data!$B200,1,C200+1)</f>
        <v>8</v>
      </c>
      <c r="D201">
        <v>13</v>
      </c>
      <c r="E201" t="s">
        <v>7</v>
      </c>
      <c r="F201" t="s">
        <v>14</v>
      </c>
      <c r="G201">
        <v>50</v>
      </c>
    </row>
    <row r="202" spans="1:7" x14ac:dyDescent="0.2">
      <c r="A202">
        <f t="shared" si="4"/>
        <v>17</v>
      </c>
      <c r="B202" t="s">
        <v>5</v>
      </c>
      <c r="C202">
        <f>IF(data!$B202&lt;&gt;data!$B201,1,C201+1)</f>
        <v>9</v>
      </c>
      <c r="D202">
        <v>12</v>
      </c>
      <c r="E202" t="s">
        <v>7</v>
      </c>
      <c r="F202" t="s">
        <v>14</v>
      </c>
      <c r="G202">
        <v>50</v>
      </c>
    </row>
    <row r="203" spans="1:7" x14ac:dyDescent="0.2">
      <c r="A203">
        <f t="shared" si="4"/>
        <v>17</v>
      </c>
      <c r="B203" t="s">
        <v>5</v>
      </c>
      <c r="C203">
        <f>IF(data!$B203&lt;&gt;data!$B202,1,C202+1)</f>
        <v>10</v>
      </c>
      <c r="D203">
        <v>11</v>
      </c>
      <c r="E203" t="s">
        <v>7</v>
      </c>
      <c r="F203" t="s">
        <v>14</v>
      </c>
      <c r="G203">
        <v>50</v>
      </c>
    </row>
    <row r="204" spans="1:7" x14ac:dyDescent="0.2">
      <c r="A204">
        <f t="shared" si="4"/>
        <v>17</v>
      </c>
      <c r="B204" t="s">
        <v>5</v>
      </c>
      <c r="C204">
        <f>IF(data!$B204&lt;&gt;data!$B203,1,C203+1)</f>
        <v>11</v>
      </c>
      <c r="D204">
        <v>10</v>
      </c>
      <c r="E204" t="s">
        <v>7</v>
      </c>
      <c r="F204" t="s">
        <v>14</v>
      </c>
      <c r="G204">
        <v>50</v>
      </c>
    </row>
    <row r="205" spans="1:7" x14ac:dyDescent="0.2">
      <c r="A205">
        <f t="shared" si="4"/>
        <v>17</v>
      </c>
      <c r="B205" t="s">
        <v>5</v>
      </c>
      <c r="C205">
        <f>IF(data!$B205&lt;&gt;data!$B204,1,C204+1)</f>
        <v>12</v>
      </c>
      <c r="D205">
        <v>9</v>
      </c>
      <c r="E205" t="s">
        <v>7</v>
      </c>
      <c r="F205" t="s">
        <v>14</v>
      </c>
      <c r="G205">
        <v>50</v>
      </c>
    </row>
    <row r="206" spans="1:7" x14ac:dyDescent="0.2">
      <c r="A206">
        <f t="shared" si="4"/>
        <v>18</v>
      </c>
      <c r="B206" t="s">
        <v>6</v>
      </c>
      <c r="C206">
        <f>IF(data!$B206&lt;&gt;data!$B205,1,C205+1)</f>
        <v>1</v>
      </c>
      <c r="D206">
        <v>22</v>
      </c>
      <c r="E206" t="s">
        <v>7</v>
      </c>
      <c r="F206" t="s">
        <v>14</v>
      </c>
      <c r="G206">
        <v>50</v>
      </c>
    </row>
    <row r="207" spans="1:7" x14ac:dyDescent="0.2">
      <c r="A207">
        <f t="shared" si="4"/>
        <v>18</v>
      </c>
      <c r="B207" t="s">
        <v>6</v>
      </c>
      <c r="C207">
        <f>IF(data!$B207&lt;&gt;data!$B206,1,C206+1)</f>
        <v>2</v>
      </c>
      <c r="D207">
        <v>20.5</v>
      </c>
      <c r="E207" t="s">
        <v>7</v>
      </c>
      <c r="F207" t="s">
        <v>14</v>
      </c>
      <c r="G207">
        <v>50</v>
      </c>
    </row>
    <row r="208" spans="1:7" x14ac:dyDescent="0.2">
      <c r="A208">
        <f t="shared" si="4"/>
        <v>18</v>
      </c>
      <c r="B208" t="s">
        <v>6</v>
      </c>
      <c r="C208">
        <f>IF(data!$B208&lt;&gt;data!$B207,1,C207+1)</f>
        <v>3</v>
      </c>
      <c r="D208">
        <v>19</v>
      </c>
      <c r="E208" t="s">
        <v>7</v>
      </c>
      <c r="F208" t="s">
        <v>14</v>
      </c>
      <c r="G208">
        <v>50</v>
      </c>
    </row>
    <row r="209" spans="1:7" x14ac:dyDescent="0.2">
      <c r="A209">
        <f t="shared" si="4"/>
        <v>18</v>
      </c>
      <c r="B209" t="s">
        <v>6</v>
      </c>
      <c r="C209">
        <f>IF(data!$B209&lt;&gt;data!$B208,1,C208+1)</f>
        <v>4</v>
      </c>
      <c r="D209">
        <v>17.5</v>
      </c>
      <c r="E209" t="s">
        <v>7</v>
      </c>
      <c r="F209" t="s">
        <v>14</v>
      </c>
      <c r="G209">
        <v>50</v>
      </c>
    </row>
    <row r="210" spans="1:7" x14ac:dyDescent="0.2">
      <c r="A210">
        <f t="shared" si="4"/>
        <v>18</v>
      </c>
      <c r="B210" t="s">
        <v>6</v>
      </c>
      <c r="C210">
        <f>IF(data!$B210&lt;&gt;data!$B209,1,C209+1)</f>
        <v>5</v>
      </c>
      <c r="D210">
        <v>16</v>
      </c>
      <c r="E210" t="s">
        <v>7</v>
      </c>
      <c r="F210" t="s">
        <v>14</v>
      </c>
      <c r="G210">
        <v>50</v>
      </c>
    </row>
    <row r="211" spans="1:7" x14ac:dyDescent="0.2">
      <c r="A211">
        <f t="shared" si="4"/>
        <v>18</v>
      </c>
      <c r="B211" t="s">
        <v>6</v>
      </c>
      <c r="C211">
        <f>IF(data!$B211&lt;&gt;data!$B210,1,C210+1)</f>
        <v>6</v>
      </c>
      <c r="D211">
        <v>14.5</v>
      </c>
      <c r="E211" t="s">
        <v>7</v>
      </c>
      <c r="F211" t="s">
        <v>14</v>
      </c>
      <c r="G211">
        <v>50</v>
      </c>
    </row>
    <row r="212" spans="1:7" x14ac:dyDescent="0.2">
      <c r="A212">
        <f t="shared" si="4"/>
        <v>18</v>
      </c>
      <c r="B212" t="s">
        <v>6</v>
      </c>
      <c r="C212">
        <f>IF(data!$B212&lt;&gt;data!$B211,1,C211+1)</f>
        <v>7</v>
      </c>
      <c r="D212">
        <v>13</v>
      </c>
      <c r="E212" t="s">
        <v>7</v>
      </c>
      <c r="F212" t="s">
        <v>14</v>
      </c>
      <c r="G212">
        <v>50</v>
      </c>
    </row>
    <row r="213" spans="1:7" x14ac:dyDescent="0.2">
      <c r="A213">
        <f t="shared" si="4"/>
        <v>18</v>
      </c>
      <c r="B213" t="s">
        <v>6</v>
      </c>
      <c r="C213">
        <f>IF(data!$B213&lt;&gt;data!$B212,1,C212+1)</f>
        <v>8</v>
      </c>
      <c r="D213">
        <v>11.5</v>
      </c>
      <c r="E213" t="s">
        <v>7</v>
      </c>
      <c r="F213" t="s">
        <v>14</v>
      </c>
      <c r="G213">
        <v>50</v>
      </c>
    </row>
    <row r="214" spans="1:7" x14ac:dyDescent="0.2">
      <c r="A214">
        <f t="shared" si="4"/>
        <v>18</v>
      </c>
      <c r="B214" t="s">
        <v>6</v>
      </c>
      <c r="C214">
        <f>IF(data!$B214&lt;&gt;data!$B213,1,C213+1)</f>
        <v>9</v>
      </c>
      <c r="D214">
        <v>10</v>
      </c>
      <c r="E214" t="s">
        <v>7</v>
      </c>
      <c r="F214" t="s">
        <v>14</v>
      </c>
      <c r="G214">
        <v>50</v>
      </c>
    </row>
    <row r="215" spans="1:7" x14ac:dyDescent="0.2">
      <c r="A215">
        <f t="shared" si="4"/>
        <v>18</v>
      </c>
      <c r="B215" t="s">
        <v>6</v>
      </c>
      <c r="C215">
        <f>IF(data!$B215&lt;&gt;data!$B214,1,C214+1)</f>
        <v>10</v>
      </c>
      <c r="D215">
        <v>8.5</v>
      </c>
      <c r="E215" t="s">
        <v>7</v>
      </c>
      <c r="F215" t="s">
        <v>14</v>
      </c>
      <c r="G215">
        <v>50</v>
      </c>
    </row>
    <row r="216" spans="1:7" x14ac:dyDescent="0.2">
      <c r="A216">
        <f t="shared" si="4"/>
        <v>18</v>
      </c>
      <c r="B216" t="s">
        <v>6</v>
      </c>
      <c r="C216">
        <f>IF(data!$B216&lt;&gt;data!$B215,1,C215+1)</f>
        <v>11</v>
      </c>
      <c r="D216">
        <v>7</v>
      </c>
      <c r="E216" t="s">
        <v>7</v>
      </c>
      <c r="F216" t="s">
        <v>14</v>
      </c>
      <c r="G216">
        <v>50</v>
      </c>
    </row>
    <row r="217" spans="1:7" x14ac:dyDescent="0.2">
      <c r="A217">
        <f t="shared" si="4"/>
        <v>18</v>
      </c>
      <c r="B217" t="s">
        <v>6</v>
      </c>
      <c r="C217">
        <f>IF(data!$B217&lt;&gt;data!$B216,1,C216+1)</f>
        <v>12</v>
      </c>
      <c r="D217">
        <v>5.5</v>
      </c>
      <c r="E217" t="s">
        <v>7</v>
      </c>
      <c r="F217" t="s">
        <v>14</v>
      </c>
      <c r="G217">
        <v>50</v>
      </c>
    </row>
    <row r="218" spans="1:7" x14ac:dyDescent="0.2">
      <c r="A218">
        <f t="shared" si="4"/>
        <v>19</v>
      </c>
      <c r="B218" t="s">
        <v>5</v>
      </c>
      <c r="C218">
        <f>IF(data!$B218&lt;&gt;data!$B217,1,C217+1)</f>
        <v>1</v>
      </c>
      <c r="D218">
        <v>21</v>
      </c>
      <c r="E218" t="s">
        <v>13</v>
      </c>
      <c r="F218" t="s">
        <v>14</v>
      </c>
      <c r="G218">
        <v>50</v>
      </c>
    </row>
    <row r="219" spans="1:7" x14ac:dyDescent="0.2">
      <c r="A219">
        <f t="shared" si="4"/>
        <v>19</v>
      </c>
      <c r="B219" t="s">
        <v>5</v>
      </c>
      <c r="C219">
        <f>IF(data!$B219&lt;&gt;data!$B218,1,C218+1)</f>
        <v>2</v>
      </c>
      <c r="D219">
        <v>20.5</v>
      </c>
      <c r="E219" t="s">
        <v>13</v>
      </c>
      <c r="F219" t="s">
        <v>14</v>
      </c>
      <c r="G219">
        <v>50</v>
      </c>
    </row>
    <row r="220" spans="1:7" x14ac:dyDescent="0.2">
      <c r="A220">
        <f t="shared" si="4"/>
        <v>19</v>
      </c>
      <c r="B220" t="s">
        <v>5</v>
      </c>
      <c r="C220">
        <f>IF(data!$B220&lt;&gt;data!$B219,1,C219+1)</f>
        <v>3</v>
      </c>
      <c r="D220">
        <v>20</v>
      </c>
      <c r="E220" t="s">
        <v>13</v>
      </c>
      <c r="F220" t="s">
        <v>14</v>
      </c>
      <c r="G220">
        <v>50</v>
      </c>
    </row>
    <row r="221" spans="1:7" x14ac:dyDescent="0.2">
      <c r="A221">
        <f t="shared" si="4"/>
        <v>19</v>
      </c>
      <c r="B221" t="s">
        <v>5</v>
      </c>
      <c r="C221">
        <f>IF(data!$B221&lt;&gt;data!$B220,1,C220+1)</f>
        <v>4</v>
      </c>
      <c r="D221">
        <v>19.5</v>
      </c>
      <c r="E221" t="s">
        <v>13</v>
      </c>
      <c r="F221" t="s">
        <v>14</v>
      </c>
      <c r="G221">
        <v>50</v>
      </c>
    </row>
    <row r="222" spans="1:7" x14ac:dyDescent="0.2">
      <c r="A222">
        <f t="shared" si="4"/>
        <v>19</v>
      </c>
      <c r="B222" t="s">
        <v>5</v>
      </c>
      <c r="C222">
        <f>IF(data!$B222&lt;&gt;data!$B221,1,C221+1)</f>
        <v>5</v>
      </c>
      <c r="D222">
        <v>19</v>
      </c>
      <c r="E222" t="s">
        <v>13</v>
      </c>
      <c r="F222" t="s">
        <v>14</v>
      </c>
      <c r="G222">
        <v>50</v>
      </c>
    </row>
    <row r="223" spans="1:7" x14ac:dyDescent="0.2">
      <c r="A223">
        <f t="shared" si="4"/>
        <v>19</v>
      </c>
      <c r="B223" t="s">
        <v>5</v>
      </c>
      <c r="C223">
        <f>IF(data!$B223&lt;&gt;data!$B222,1,C222+1)</f>
        <v>6</v>
      </c>
      <c r="D223">
        <v>18.5</v>
      </c>
      <c r="E223" t="s">
        <v>13</v>
      </c>
      <c r="F223" t="s">
        <v>14</v>
      </c>
      <c r="G223">
        <v>50</v>
      </c>
    </row>
    <row r="224" spans="1:7" x14ac:dyDescent="0.2">
      <c r="A224">
        <f t="shared" si="4"/>
        <v>19</v>
      </c>
      <c r="B224" t="s">
        <v>5</v>
      </c>
      <c r="C224">
        <f>IF(data!$B224&lt;&gt;data!$B223,1,C223+1)</f>
        <v>7</v>
      </c>
      <c r="D224">
        <v>18</v>
      </c>
      <c r="E224" t="s">
        <v>13</v>
      </c>
      <c r="F224" t="s">
        <v>14</v>
      </c>
      <c r="G224">
        <v>50</v>
      </c>
    </row>
    <row r="225" spans="1:7" x14ac:dyDescent="0.2">
      <c r="A225">
        <f t="shared" si="4"/>
        <v>19</v>
      </c>
      <c r="B225" t="s">
        <v>5</v>
      </c>
      <c r="C225">
        <f>IF(data!$B225&lt;&gt;data!$B224,1,C224+1)</f>
        <v>8</v>
      </c>
      <c r="D225">
        <v>17.5</v>
      </c>
      <c r="E225" t="s">
        <v>13</v>
      </c>
      <c r="F225" t="s">
        <v>14</v>
      </c>
      <c r="G225">
        <v>50</v>
      </c>
    </row>
    <row r="226" spans="1:7" x14ac:dyDescent="0.2">
      <c r="A226">
        <f t="shared" ref="A226:A289" si="5">IF(B226=B225,A225,A225+1)</f>
        <v>19</v>
      </c>
      <c r="B226" t="s">
        <v>5</v>
      </c>
      <c r="C226">
        <f>IF(data!$B226&lt;&gt;data!$B225,1,C225+1)</f>
        <v>9</v>
      </c>
      <c r="D226">
        <v>17</v>
      </c>
      <c r="E226" t="s">
        <v>13</v>
      </c>
      <c r="F226" t="s">
        <v>14</v>
      </c>
      <c r="G226">
        <v>50</v>
      </c>
    </row>
    <row r="227" spans="1:7" x14ac:dyDescent="0.2">
      <c r="A227">
        <f t="shared" si="5"/>
        <v>19</v>
      </c>
      <c r="B227" t="s">
        <v>5</v>
      </c>
      <c r="C227">
        <f>IF(data!$B227&lt;&gt;data!$B226,1,C226+1)</f>
        <v>10</v>
      </c>
      <c r="D227">
        <v>16.5</v>
      </c>
      <c r="E227" t="s">
        <v>13</v>
      </c>
      <c r="F227" t="s">
        <v>14</v>
      </c>
      <c r="G227">
        <v>50</v>
      </c>
    </row>
    <row r="228" spans="1:7" x14ac:dyDescent="0.2">
      <c r="A228">
        <f t="shared" si="5"/>
        <v>19</v>
      </c>
      <c r="B228" t="s">
        <v>5</v>
      </c>
      <c r="C228">
        <f>IF(data!$B228&lt;&gt;data!$B227,1,C227+1)</f>
        <v>11</v>
      </c>
      <c r="D228">
        <v>16</v>
      </c>
      <c r="E228" t="s">
        <v>13</v>
      </c>
      <c r="F228" t="s">
        <v>14</v>
      </c>
      <c r="G228">
        <v>50</v>
      </c>
    </row>
    <row r="229" spans="1:7" x14ac:dyDescent="0.2">
      <c r="A229">
        <f t="shared" si="5"/>
        <v>19</v>
      </c>
      <c r="B229" t="s">
        <v>5</v>
      </c>
      <c r="C229">
        <f>IF(data!$B229&lt;&gt;data!$B228,1,C228+1)</f>
        <v>12</v>
      </c>
      <c r="D229">
        <v>15.5</v>
      </c>
      <c r="E229" t="s">
        <v>13</v>
      </c>
      <c r="F229" t="s">
        <v>14</v>
      </c>
      <c r="G229">
        <v>50</v>
      </c>
    </row>
    <row r="230" spans="1:7" x14ac:dyDescent="0.2">
      <c r="A230">
        <f t="shared" si="5"/>
        <v>20</v>
      </c>
      <c r="B230" t="s">
        <v>6</v>
      </c>
      <c r="C230">
        <f>IF(data!$B230&lt;&gt;data!$B229,1,C229+1)</f>
        <v>1</v>
      </c>
      <c r="D230">
        <v>23</v>
      </c>
      <c r="E230" t="s">
        <v>13</v>
      </c>
      <c r="F230" t="s">
        <v>14</v>
      </c>
      <c r="G230">
        <v>50</v>
      </c>
    </row>
    <row r="231" spans="1:7" x14ac:dyDescent="0.2">
      <c r="A231">
        <f t="shared" si="5"/>
        <v>20</v>
      </c>
      <c r="B231" t="s">
        <v>6</v>
      </c>
      <c r="C231">
        <f>IF(data!$B231&lt;&gt;data!$B230,1,C230+1)</f>
        <v>2</v>
      </c>
      <c r="D231">
        <v>21.8</v>
      </c>
      <c r="E231" t="s">
        <v>13</v>
      </c>
      <c r="F231" t="s">
        <v>14</v>
      </c>
      <c r="G231">
        <v>50</v>
      </c>
    </row>
    <row r="232" spans="1:7" x14ac:dyDescent="0.2">
      <c r="A232">
        <f t="shared" si="5"/>
        <v>20</v>
      </c>
      <c r="B232" t="s">
        <v>6</v>
      </c>
      <c r="C232">
        <f>IF(data!$B232&lt;&gt;data!$B231,1,C231+1)</f>
        <v>3</v>
      </c>
      <c r="D232">
        <v>20.6</v>
      </c>
      <c r="E232" t="s">
        <v>13</v>
      </c>
      <c r="F232" t="s">
        <v>14</v>
      </c>
      <c r="G232">
        <v>50</v>
      </c>
    </row>
    <row r="233" spans="1:7" x14ac:dyDescent="0.2">
      <c r="A233">
        <f t="shared" si="5"/>
        <v>20</v>
      </c>
      <c r="B233" t="s">
        <v>6</v>
      </c>
      <c r="C233">
        <f>IF(data!$B233&lt;&gt;data!$B232,1,C232+1)</f>
        <v>4</v>
      </c>
      <c r="D233">
        <v>19.400000000000002</v>
      </c>
      <c r="E233" t="s">
        <v>13</v>
      </c>
      <c r="F233" t="s">
        <v>14</v>
      </c>
      <c r="G233">
        <v>50</v>
      </c>
    </row>
    <row r="234" spans="1:7" x14ac:dyDescent="0.2">
      <c r="A234">
        <f t="shared" si="5"/>
        <v>20</v>
      </c>
      <c r="B234" t="s">
        <v>6</v>
      </c>
      <c r="C234">
        <f>IF(data!$B234&lt;&gt;data!$B233,1,C233+1)</f>
        <v>5</v>
      </c>
      <c r="D234">
        <v>18.200000000000003</v>
      </c>
      <c r="E234" t="s">
        <v>13</v>
      </c>
      <c r="F234" t="s">
        <v>14</v>
      </c>
      <c r="G234">
        <v>50</v>
      </c>
    </row>
    <row r="235" spans="1:7" x14ac:dyDescent="0.2">
      <c r="A235">
        <f t="shared" si="5"/>
        <v>20</v>
      </c>
      <c r="B235" t="s">
        <v>6</v>
      </c>
      <c r="C235">
        <f>IF(data!$B235&lt;&gt;data!$B234,1,C234+1)</f>
        <v>6</v>
      </c>
      <c r="D235">
        <v>17.000000000000004</v>
      </c>
      <c r="E235" t="s">
        <v>13</v>
      </c>
      <c r="F235" t="s">
        <v>14</v>
      </c>
      <c r="G235">
        <v>50</v>
      </c>
    </row>
    <row r="236" spans="1:7" x14ac:dyDescent="0.2">
      <c r="A236">
        <f t="shared" si="5"/>
        <v>20</v>
      </c>
      <c r="B236" t="s">
        <v>6</v>
      </c>
      <c r="C236">
        <f>IF(data!$B236&lt;&gt;data!$B235,1,C235+1)</f>
        <v>7</v>
      </c>
      <c r="D236">
        <v>15.800000000000004</v>
      </c>
      <c r="E236" t="s">
        <v>13</v>
      </c>
      <c r="F236" t="s">
        <v>14</v>
      </c>
      <c r="G236">
        <v>50</v>
      </c>
    </row>
    <row r="237" spans="1:7" x14ac:dyDescent="0.2">
      <c r="A237">
        <f t="shared" si="5"/>
        <v>20</v>
      </c>
      <c r="B237" t="s">
        <v>6</v>
      </c>
      <c r="C237">
        <f>IF(data!$B237&lt;&gt;data!$B236,1,C236+1)</f>
        <v>8</v>
      </c>
      <c r="D237">
        <v>14.600000000000005</v>
      </c>
      <c r="E237" t="s">
        <v>13</v>
      </c>
      <c r="F237" t="s">
        <v>14</v>
      </c>
      <c r="G237">
        <v>50</v>
      </c>
    </row>
    <row r="238" spans="1:7" x14ac:dyDescent="0.2">
      <c r="A238">
        <f t="shared" si="5"/>
        <v>20</v>
      </c>
      <c r="B238" t="s">
        <v>6</v>
      </c>
      <c r="C238">
        <f>IF(data!$B238&lt;&gt;data!$B237,1,C237+1)</f>
        <v>9</v>
      </c>
      <c r="D238">
        <v>13.400000000000006</v>
      </c>
      <c r="E238" t="s">
        <v>13</v>
      </c>
      <c r="F238" t="s">
        <v>14</v>
      </c>
      <c r="G238">
        <v>50</v>
      </c>
    </row>
    <row r="239" spans="1:7" x14ac:dyDescent="0.2">
      <c r="A239">
        <f t="shared" si="5"/>
        <v>20</v>
      </c>
      <c r="B239" t="s">
        <v>6</v>
      </c>
      <c r="C239">
        <f>IF(data!$B239&lt;&gt;data!$B238,1,C238+1)</f>
        <v>10</v>
      </c>
      <c r="D239">
        <v>12.200000000000006</v>
      </c>
      <c r="E239" t="s">
        <v>13</v>
      </c>
      <c r="F239" t="s">
        <v>14</v>
      </c>
      <c r="G239">
        <v>50</v>
      </c>
    </row>
    <row r="240" spans="1:7" x14ac:dyDescent="0.2">
      <c r="A240">
        <f t="shared" si="5"/>
        <v>20</v>
      </c>
      <c r="B240" t="s">
        <v>6</v>
      </c>
      <c r="C240">
        <f>IF(data!$B240&lt;&gt;data!$B239,1,C239+1)</f>
        <v>11</v>
      </c>
      <c r="D240">
        <v>11.000000000000007</v>
      </c>
      <c r="E240" t="s">
        <v>13</v>
      </c>
      <c r="F240" t="s">
        <v>14</v>
      </c>
      <c r="G240">
        <v>50</v>
      </c>
    </row>
    <row r="241" spans="1:7" x14ac:dyDescent="0.2">
      <c r="A241">
        <f t="shared" si="5"/>
        <v>20</v>
      </c>
      <c r="B241" t="s">
        <v>6</v>
      </c>
      <c r="C241">
        <f>IF(data!$B241&lt;&gt;data!$B240,1,C240+1)</f>
        <v>12</v>
      </c>
      <c r="D241">
        <v>9.8000000000000078</v>
      </c>
      <c r="E241" t="s">
        <v>13</v>
      </c>
      <c r="F241" t="s">
        <v>14</v>
      </c>
      <c r="G241">
        <v>50</v>
      </c>
    </row>
    <row r="242" spans="1:7" x14ac:dyDescent="0.2">
      <c r="A242">
        <f t="shared" si="5"/>
        <v>21</v>
      </c>
      <c r="B242" t="s">
        <v>5</v>
      </c>
      <c r="C242">
        <f>IF(data!$B242&lt;&gt;data!$B241,1,C241+1)</f>
        <v>1</v>
      </c>
      <c r="D242">
        <v>20</v>
      </c>
      <c r="E242" t="s">
        <v>7</v>
      </c>
      <c r="F242" t="s">
        <v>12</v>
      </c>
      <c r="G242">
        <v>50</v>
      </c>
    </row>
    <row r="243" spans="1:7" x14ac:dyDescent="0.2">
      <c r="A243">
        <f t="shared" si="5"/>
        <v>21</v>
      </c>
      <c r="B243" t="s">
        <v>5</v>
      </c>
      <c r="C243">
        <f>IF(data!$B243&lt;&gt;data!$B242,1,C242+1)</f>
        <v>2</v>
      </c>
      <c r="D243">
        <v>18.698970004336019</v>
      </c>
      <c r="E243" t="s">
        <v>7</v>
      </c>
      <c r="F243" t="s">
        <v>12</v>
      </c>
      <c r="G243">
        <v>50</v>
      </c>
    </row>
    <row r="244" spans="1:7" x14ac:dyDescent="0.2">
      <c r="A244">
        <f t="shared" si="5"/>
        <v>21</v>
      </c>
      <c r="B244" t="s">
        <v>5</v>
      </c>
      <c r="C244">
        <f>IF(data!$B244&lt;&gt;data!$B243,1,C243+1)</f>
        <v>3</v>
      </c>
      <c r="D244">
        <v>17.522878745280337</v>
      </c>
      <c r="E244" t="s">
        <v>7</v>
      </c>
      <c r="F244" t="s">
        <v>12</v>
      </c>
      <c r="G244">
        <v>50</v>
      </c>
    </row>
    <row r="245" spans="1:7" x14ac:dyDescent="0.2">
      <c r="A245">
        <f t="shared" si="5"/>
        <v>21</v>
      </c>
      <c r="B245" t="s">
        <v>5</v>
      </c>
      <c r="C245">
        <f>IF(data!$B245&lt;&gt;data!$B244,1,C244+1)</f>
        <v>4</v>
      </c>
      <c r="D245">
        <v>16.397940008672037</v>
      </c>
      <c r="E245" t="s">
        <v>7</v>
      </c>
      <c r="F245" t="s">
        <v>12</v>
      </c>
      <c r="G245">
        <v>50</v>
      </c>
    </row>
    <row r="246" spans="1:7" x14ac:dyDescent="0.2">
      <c r="A246">
        <f t="shared" si="5"/>
        <v>21</v>
      </c>
      <c r="B246" t="s">
        <v>5</v>
      </c>
      <c r="C246">
        <f>IF(data!$B246&lt;&gt;data!$B245,1,C245+1)</f>
        <v>5</v>
      </c>
      <c r="D246">
        <v>15.301029995663981</v>
      </c>
      <c r="E246" t="s">
        <v>7</v>
      </c>
      <c r="F246" t="s">
        <v>12</v>
      </c>
      <c r="G246">
        <v>50</v>
      </c>
    </row>
    <row r="247" spans="1:7" x14ac:dyDescent="0.2">
      <c r="A247">
        <f t="shared" si="5"/>
        <v>21</v>
      </c>
      <c r="B247" t="s">
        <v>5</v>
      </c>
      <c r="C247">
        <f>IF(data!$B247&lt;&gt;data!$B246,1,C246+1)</f>
        <v>6</v>
      </c>
      <c r="D247">
        <v>14.221848749616356</v>
      </c>
      <c r="E247" t="s">
        <v>7</v>
      </c>
      <c r="F247" t="s">
        <v>12</v>
      </c>
      <c r="G247">
        <v>50</v>
      </c>
    </row>
    <row r="248" spans="1:7" x14ac:dyDescent="0.2">
      <c r="A248">
        <f t="shared" si="5"/>
        <v>21</v>
      </c>
      <c r="B248" t="s">
        <v>5</v>
      </c>
      <c r="C248">
        <f>IF(data!$B248&lt;&gt;data!$B247,1,C247+1)</f>
        <v>7</v>
      </c>
      <c r="D248">
        <v>13.154901959985743</v>
      </c>
      <c r="E248" t="s">
        <v>7</v>
      </c>
      <c r="F248" t="s">
        <v>12</v>
      </c>
      <c r="G248">
        <v>50</v>
      </c>
    </row>
    <row r="249" spans="1:7" x14ac:dyDescent="0.2">
      <c r="A249">
        <f t="shared" si="5"/>
        <v>21</v>
      </c>
      <c r="B249" t="s">
        <v>5</v>
      </c>
      <c r="C249">
        <f>IF(data!$B249&lt;&gt;data!$B248,1,C248+1)</f>
        <v>8</v>
      </c>
      <c r="D249">
        <v>12.096910013008056</v>
      </c>
      <c r="E249" t="s">
        <v>7</v>
      </c>
      <c r="F249" t="s">
        <v>12</v>
      </c>
      <c r="G249">
        <v>50</v>
      </c>
    </row>
    <row r="250" spans="1:7" x14ac:dyDescent="0.2">
      <c r="A250">
        <f t="shared" si="5"/>
        <v>21</v>
      </c>
      <c r="B250" t="s">
        <v>5</v>
      </c>
      <c r="C250">
        <f>IF(data!$B250&lt;&gt;data!$B249,1,C249+1)</f>
        <v>9</v>
      </c>
      <c r="D250">
        <v>11.045757490560675</v>
      </c>
      <c r="E250" t="s">
        <v>7</v>
      </c>
      <c r="F250" t="s">
        <v>12</v>
      </c>
      <c r="G250">
        <v>50</v>
      </c>
    </row>
    <row r="251" spans="1:7" x14ac:dyDescent="0.2">
      <c r="A251">
        <f t="shared" si="5"/>
        <v>21</v>
      </c>
      <c r="B251" t="s">
        <v>5</v>
      </c>
      <c r="C251">
        <f>IF(data!$B251&lt;&gt;data!$B250,1,C250+1)</f>
        <v>10</v>
      </c>
      <c r="D251">
        <v>10</v>
      </c>
      <c r="E251" t="s">
        <v>7</v>
      </c>
      <c r="F251" t="s">
        <v>12</v>
      </c>
      <c r="G251">
        <v>50</v>
      </c>
    </row>
    <row r="252" spans="1:7" x14ac:dyDescent="0.2">
      <c r="A252">
        <f t="shared" si="5"/>
        <v>21</v>
      </c>
      <c r="B252" t="s">
        <v>5</v>
      </c>
      <c r="C252">
        <f>IF(data!$B252&lt;&gt;data!$B251,1,C251+1)</f>
        <v>11</v>
      </c>
      <c r="D252">
        <v>8.9586073148417746</v>
      </c>
      <c r="E252" t="s">
        <v>7</v>
      </c>
      <c r="F252" t="s">
        <v>12</v>
      </c>
      <c r="G252">
        <v>50</v>
      </c>
    </row>
    <row r="253" spans="1:7" x14ac:dyDescent="0.2">
      <c r="A253">
        <f t="shared" si="5"/>
        <v>21</v>
      </c>
      <c r="B253" t="s">
        <v>5</v>
      </c>
      <c r="C253">
        <f>IF(data!$B253&lt;&gt;data!$B252,1,C252+1)</f>
        <v>12</v>
      </c>
      <c r="D253">
        <v>7.9208187539523749</v>
      </c>
      <c r="E253" t="s">
        <v>7</v>
      </c>
      <c r="F253" t="s">
        <v>12</v>
      </c>
      <c r="G253">
        <v>50</v>
      </c>
    </row>
    <row r="254" spans="1:7" x14ac:dyDescent="0.2">
      <c r="A254">
        <f t="shared" si="5"/>
        <v>22</v>
      </c>
      <c r="B254" t="s">
        <v>6</v>
      </c>
      <c r="C254">
        <f>IF(data!$B254&lt;&gt;data!$B253,1,C253+1)</f>
        <v>1</v>
      </c>
      <c r="D254">
        <v>22</v>
      </c>
      <c r="E254" t="s">
        <v>7</v>
      </c>
      <c r="F254" t="s">
        <v>12</v>
      </c>
      <c r="G254">
        <v>50</v>
      </c>
    </row>
    <row r="255" spans="1:7" x14ac:dyDescent="0.2">
      <c r="A255">
        <f t="shared" si="5"/>
        <v>22</v>
      </c>
      <c r="B255" t="s">
        <v>6</v>
      </c>
      <c r="C255">
        <f>IF(data!$B255&lt;&gt;data!$B254,1,C254+1)</f>
        <v>2</v>
      </c>
      <c r="D255">
        <v>20.198970004336019</v>
      </c>
      <c r="E255" t="s">
        <v>7</v>
      </c>
      <c r="F255" t="s">
        <v>12</v>
      </c>
      <c r="G255">
        <v>50</v>
      </c>
    </row>
    <row r="256" spans="1:7" x14ac:dyDescent="0.2">
      <c r="A256">
        <f t="shared" si="5"/>
        <v>22</v>
      </c>
      <c r="B256" t="s">
        <v>6</v>
      </c>
      <c r="C256">
        <f>IF(data!$B256&lt;&gt;data!$B255,1,C255+1)</f>
        <v>3</v>
      </c>
      <c r="D256">
        <v>18.522878745280337</v>
      </c>
      <c r="E256" t="s">
        <v>7</v>
      </c>
      <c r="F256" t="s">
        <v>12</v>
      </c>
      <c r="G256">
        <v>50</v>
      </c>
    </row>
    <row r="257" spans="1:7" x14ac:dyDescent="0.2">
      <c r="A257">
        <f t="shared" si="5"/>
        <v>22</v>
      </c>
      <c r="B257" t="s">
        <v>6</v>
      </c>
      <c r="C257">
        <f>IF(data!$B257&lt;&gt;data!$B256,1,C256+1)</f>
        <v>4</v>
      </c>
      <c r="D257">
        <v>16.897940008672037</v>
      </c>
      <c r="E257" t="s">
        <v>7</v>
      </c>
      <c r="F257" t="s">
        <v>12</v>
      </c>
      <c r="G257">
        <v>50</v>
      </c>
    </row>
    <row r="258" spans="1:7" x14ac:dyDescent="0.2">
      <c r="A258">
        <f t="shared" si="5"/>
        <v>22</v>
      </c>
      <c r="B258" t="s">
        <v>6</v>
      </c>
      <c r="C258">
        <f>IF(data!$B258&lt;&gt;data!$B257,1,C257+1)</f>
        <v>5</v>
      </c>
      <c r="D258">
        <v>15.301029995663981</v>
      </c>
      <c r="E258" t="s">
        <v>7</v>
      </c>
      <c r="F258" t="s">
        <v>12</v>
      </c>
      <c r="G258">
        <v>50</v>
      </c>
    </row>
    <row r="259" spans="1:7" x14ac:dyDescent="0.2">
      <c r="A259">
        <f t="shared" si="5"/>
        <v>22</v>
      </c>
      <c r="B259" t="s">
        <v>6</v>
      </c>
      <c r="C259">
        <f>IF(data!$B259&lt;&gt;data!$B258,1,C258+1)</f>
        <v>6</v>
      </c>
      <c r="D259">
        <v>13.721848749616356</v>
      </c>
      <c r="E259" t="s">
        <v>7</v>
      </c>
      <c r="F259" t="s">
        <v>12</v>
      </c>
      <c r="G259">
        <v>50</v>
      </c>
    </row>
    <row r="260" spans="1:7" x14ac:dyDescent="0.2">
      <c r="A260">
        <f t="shared" si="5"/>
        <v>22</v>
      </c>
      <c r="B260" t="s">
        <v>6</v>
      </c>
      <c r="C260">
        <f>IF(data!$B260&lt;&gt;data!$B259,1,C259+1)</f>
        <v>7</v>
      </c>
      <c r="D260">
        <v>12.154901959985743</v>
      </c>
      <c r="E260" t="s">
        <v>7</v>
      </c>
      <c r="F260" t="s">
        <v>12</v>
      </c>
      <c r="G260">
        <v>50</v>
      </c>
    </row>
    <row r="261" spans="1:7" x14ac:dyDescent="0.2">
      <c r="A261">
        <f t="shared" si="5"/>
        <v>22</v>
      </c>
      <c r="B261" t="s">
        <v>6</v>
      </c>
      <c r="C261">
        <f>IF(data!$B261&lt;&gt;data!$B260,1,C260+1)</f>
        <v>8</v>
      </c>
      <c r="D261">
        <v>10.596910013008056</v>
      </c>
      <c r="E261" t="s">
        <v>7</v>
      </c>
      <c r="F261" t="s">
        <v>12</v>
      </c>
      <c r="G261">
        <v>50</v>
      </c>
    </row>
    <row r="262" spans="1:7" x14ac:dyDescent="0.2">
      <c r="A262">
        <f t="shared" si="5"/>
        <v>22</v>
      </c>
      <c r="B262" t="s">
        <v>6</v>
      </c>
      <c r="C262">
        <f>IF(data!$B262&lt;&gt;data!$B261,1,C261+1)</f>
        <v>9</v>
      </c>
      <c r="D262">
        <v>9.0457574905606748</v>
      </c>
      <c r="E262" t="s">
        <v>7</v>
      </c>
      <c r="F262" t="s">
        <v>12</v>
      </c>
      <c r="G262">
        <v>50</v>
      </c>
    </row>
    <row r="263" spans="1:7" x14ac:dyDescent="0.2">
      <c r="A263">
        <f t="shared" si="5"/>
        <v>22</v>
      </c>
      <c r="B263" t="s">
        <v>6</v>
      </c>
      <c r="C263">
        <f>IF(data!$B263&lt;&gt;data!$B262,1,C262+1)</f>
        <v>10</v>
      </c>
      <c r="D263">
        <v>7.5</v>
      </c>
      <c r="E263" t="s">
        <v>7</v>
      </c>
      <c r="F263" t="s">
        <v>12</v>
      </c>
      <c r="G263">
        <v>50</v>
      </c>
    </row>
    <row r="264" spans="1:7" x14ac:dyDescent="0.2">
      <c r="A264">
        <f t="shared" si="5"/>
        <v>22</v>
      </c>
      <c r="B264" t="s">
        <v>6</v>
      </c>
      <c r="C264">
        <f>IF(data!$B264&lt;&gt;data!$B263,1,C263+1)</f>
        <v>11</v>
      </c>
      <c r="D264">
        <v>5.9586073148417746</v>
      </c>
      <c r="E264" t="s">
        <v>7</v>
      </c>
      <c r="F264" t="s">
        <v>12</v>
      </c>
      <c r="G264">
        <v>50</v>
      </c>
    </row>
    <row r="265" spans="1:7" x14ac:dyDescent="0.2">
      <c r="A265">
        <f t="shared" si="5"/>
        <v>22</v>
      </c>
      <c r="B265" t="s">
        <v>6</v>
      </c>
      <c r="C265">
        <f>IF(data!$B265&lt;&gt;data!$B264,1,C264+1)</f>
        <v>12</v>
      </c>
      <c r="D265">
        <v>4.4208187539523749</v>
      </c>
      <c r="E265" t="s">
        <v>7</v>
      </c>
      <c r="F265" t="s">
        <v>12</v>
      </c>
      <c r="G265">
        <v>50</v>
      </c>
    </row>
    <row r="266" spans="1:7" x14ac:dyDescent="0.2">
      <c r="A266">
        <f t="shared" si="5"/>
        <v>23</v>
      </c>
      <c r="B266" t="s">
        <v>5</v>
      </c>
      <c r="C266">
        <f>IF(data!$B266&lt;&gt;data!$B265,1,C265+1)</f>
        <v>1</v>
      </c>
      <c r="D266">
        <v>21</v>
      </c>
      <c r="E266" t="s">
        <v>13</v>
      </c>
      <c r="F266" t="s">
        <v>12</v>
      </c>
      <c r="G266">
        <v>50</v>
      </c>
    </row>
    <row r="267" spans="1:7" x14ac:dyDescent="0.2">
      <c r="A267">
        <f t="shared" si="5"/>
        <v>23</v>
      </c>
      <c r="B267" t="s">
        <v>5</v>
      </c>
      <c r="C267">
        <f>IF(data!$B267&lt;&gt;data!$B266,1,C266+1)</f>
        <v>2</v>
      </c>
      <c r="D267">
        <v>20.198970004336019</v>
      </c>
      <c r="E267" t="s">
        <v>13</v>
      </c>
      <c r="F267" t="s">
        <v>12</v>
      </c>
      <c r="G267">
        <v>50</v>
      </c>
    </row>
    <row r="268" spans="1:7" x14ac:dyDescent="0.2">
      <c r="A268">
        <f t="shared" si="5"/>
        <v>23</v>
      </c>
      <c r="B268" t="s">
        <v>5</v>
      </c>
      <c r="C268">
        <f>IF(data!$B268&lt;&gt;data!$B267,1,C267+1)</f>
        <v>3</v>
      </c>
      <c r="D268">
        <v>19.522878745280337</v>
      </c>
      <c r="E268" t="s">
        <v>13</v>
      </c>
      <c r="F268" t="s">
        <v>12</v>
      </c>
      <c r="G268">
        <v>50</v>
      </c>
    </row>
    <row r="269" spans="1:7" x14ac:dyDescent="0.2">
      <c r="A269">
        <f t="shared" si="5"/>
        <v>23</v>
      </c>
      <c r="B269" t="s">
        <v>5</v>
      </c>
      <c r="C269">
        <f>IF(data!$B269&lt;&gt;data!$B268,1,C268+1)</f>
        <v>4</v>
      </c>
      <c r="D269">
        <v>18.897940008672037</v>
      </c>
      <c r="E269" t="s">
        <v>13</v>
      </c>
      <c r="F269" t="s">
        <v>12</v>
      </c>
      <c r="G269">
        <v>50</v>
      </c>
    </row>
    <row r="270" spans="1:7" x14ac:dyDescent="0.2">
      <c r="A270">
        <f t="shared" si="5"/>
        <v>23</v>
      </c>
      <c r="B270" t="s">
        <v>5</v>
      </c>
      <c r="C270">
        <f>IF(data!$B270&lt;&gt;data!$B269,1,C269+1)</f>
        <v>5</v>
      </c>
      <c r="D270">
        <v>18.301029995663981</v>
      </c>
      <c r="E270" t="s">
        <v>13</v>
      </c>
      <c r="F270" t="s">
        <v>12</v>
      </c>
      <c r="G270">
        <v>50</v>
      </c>
    </row>
    <row r="271" spans="1:7" x14ac:dyDescent="0.2">
      <c r="A271">
        <f t="shared" si="5"/>
        <v>23</v>
      </c>
      <c r="B271" t="s">
        <v>5</v>
      </c>
      <c r="C271">
        <f>IF(data!$B271&lt;&gt;data!$B270,1,C270+1)</f>
        <v>6</v>
      </c>
      <c r="D271">
        <v>17.721848749616356</v>
      </c>
      <c r="E271" t="s">
        <v>13</v>
      </c>
      <c r="F271" t="s">
        <v>12</v>
      </c>
      <c r="G271">
        <v>50</v>
      </c>
    </row>
    <row r="272" spans="1:7" x14ac:dyDescent="0.2">
      <c r="A272">
        <f t="shared" si="5"/>
        <v>23</v>
      </c>
      <c r="B272" t="s">
        <v>5</v>
      </c>
      <c r="C272">
        <f>IF(data!$B272&lt;&gt;data!$B271,1,C271+1)</f>
        <v>7</v>
      </c>
      <c r="D272">
        <v>17.154901959985743</v>
      </c>
      <c r="E272" t="s">
        <v>13</v>
      </c>
      <c r="F272" t="s">
        <v>12</v>
      </c>
      <c r="G272">
        <v>50</v>
      </c>
    </row>
    <row r="273" spans="1:7" x14ac:dyDescent="0.2">
      <c r="A273">
        <f t="shared" si="5"/>
        <v>23</v>
      </c>
      <c r="B273" t="s">
        <v>5</v>
      </c>
      <c r="C273">
        <f>IF(data!$B273&lt;&gt;data!$B272,1,C272+1)</f>
        <v>8</v>
      </c>
      <c r="D273">
        <v>16.596910013008056</v>
      </c>
      <c r="E273" t="s">
        <v>13</v>
      </c>
      <c r="F273" t="s">
        <v>12</v>
      </c>
      <c r="G273">
        <v>50</v>
      </c>
    </row>
    <row r="274" spans="1:7" x14ac:dyDescent="0.2">
      <c r="A274">
        <f t="shared" si="5"/>
        <v>23</v>
      </c>
      <c r="B274" t="s">
        <v>5</v>
      </c>
      <c r="C274">
        <f>IF(data!$B274&lt;&gt;data!$B273,1,C273+1)</f>
        <v>9</v>
      </c>
      <c r="D274">
        <v>16.045757490560675</v>
      </c>
      <c r="E274" t="s">
        <v>13</v>
      </c>
      <c r="F274" t="s">
        <v>12</v>
      </c>
      <c r="G274">
        <v>50</v>
      </c>
    </row>
    <row r="275" spans="1:7" x14ac:dyDescent="0.2">
      <c r="A275">
        <f t="shared" si="5"/>
        <v>23</v>
      </c>
      <c r="B275" t="s">
        <v>5</v>
      </c>
      <c r="C275">
        <f>IF(data!$B275&lt;&gt;data!$B274,1,C274+1)</f>
        <v>10</v>
      </c>
      <c r="D275">
        <v>15.5</v>
      </c>
      <c r="E275" t="s">
        <v>13</v>
      </c>
      <c r="F275" t="s">
        <v>12</v>
      </c>
      <c r="G275">
        <v>50</v>
      </c>
    </row>
    <row r="276" spans="1:7" x14ac:dyDescent="0.2">
      <c r="A276">
        <f t="shared" si="5"/>
        <v>23</v>
      </c>
      <c r="B276" t="s">
        <v>5</v>
      </c>
      <c r="C276">
        <f>IF(data!$B276&lt;&gt;data!$B275,1,C275+1)</f>
        <v>11</v>
      </c>
      <c r="D276">
        <v>14.958607314841775</v>
      </c>
      <c r="E276" t="s">
        <v>13</v>
      </c>
      <c r="F276" t="s">
        <v>12</v>
      </c>
      <c r="G276">
        <v>50</v>
      </c>
    </row>
    <row r="277" spans="1:7" x14ac:dyDescent="0.2">
      <c r="A277">
        <f t="shared" si="5"/>
        <v>23</v>
      </c>
      <c r="B277" t="s">
        <v>5</v>
      </c>
      <c r="C277">
        <f>IF(data!$B277&lt;&gt;data!$B276,1,C276+1)</f>
        <v>12</v>
      </c>
      <c r="D277">
        <v>14.420818753952375</v>
      </c>
      <c r="E277" t="s">
        <v>13</v>
      </c>
      <c r="F277" t="s">
        <v>12</v>
      </c>
      <c r="G277">
        <v>50</v>
      </c>
    </row>
    <row r="278" spans="1:7" x14ac:dyDescent="0.2">
      <c r="A278">
        <f t="shared" si="5"/>
        <v>24</v>
      </c>
      <c r="B278" t="s">
        <v>6</v>
      </c>
      <c r="C278">
        <f>IF(data!$B278&lt;&gt;data!$B277,1,C277+1)</f>
        <v>1</v>
      </c>
      <c r="D278">
        <v>23</v>
      </c>
      <c r="E278" t="s">
        <v>13</v>
      </c>
      <c r="F278" t="s">
        <v>12</v>
      </c>
      <c r="G278">
        <v>50</v>
      </c>
    </row>
    <row r="279" spans="1:7" x14ac:dyDescent="0.2">
      <c r="A279">
        <f t="shared" si="5"/>
        <v>24</v>
      </c>
      <c r="B279" t="s">
        <v>6</v>
      </c>
      <c r="C279">
        <f>IF(data!$B279&lt;&gt;data!$B278,1,C278+1)</f>
        <v>2</v>
      </c>
      <c r="D279">
        <v>21.498970004336019</v>
      </c>
      <c r="E279" t="s">
        <v>13</v>
      </c>
      <c r="F279" t="s">
        <v>12</v>
      </c>
      <c r="G279">
        <v>50</v>
      </c>
    </row>
    <row r="280" spans="1:7" x14ac:dyDescent="0.2">
      <c r="A280">
        <f t="shared" si="5"/>
        <v>24</v>
      </c>
      <c r="B280" t="s">
        <v>6</v>
      </c>
      <c r="C280">
        <f>IF(data!$B280&lt;&gt;data!$B279,1,C279+1)</f>
        <v>3</v>
      </c>
      <c r="D280">
        <v>20.122878745280339</v>
      </c>
      <c r="E280" t="s">
        <v>13</v>
      </c>
      <c r="F280" t="s">
        <v>12</v>
      </c>
      <c r="G280">
        <v>50</v>
      </c>
    </row>
    <row r="281" spans="1:7" x14ac:dyDescent="0.2">
      <c r="A281">
        <f t="shared" si="5"/>
        <v>24</v>
      </c>
      <c r="B281" t="s">
        <v>6</v>
      </c>
      <c r="C281">
        <f>IF(data!$B281&lt;&gt;data!$B280,1,C280+1)</f>
        <v>4</v>
      </c>
      <c r="D281">
        <v>18.79794000867204</v>
      </c>
      <c r="E281" t="s">
        <v>13</v>
      </c>
      <c r="F281" t="s">
        <v>12</v>
      </c>
      <c r="G281">
        <v>50</v>
      </c>
    </row>
    <row r="282" spans="1:7" x14ac:dyDescent="0.2">
      <c r="A282">
        <f t="shared" si="5"/>
        <v>24</v>
      </c>
      <c r="B282" t="s">
        <v>6</v>
      </c>
      <c r="C282">
        <f>IF(data!$B282&lt;&gt;data!$B281,1,C281+1)</f>
        <v>5</v>
      </c>
      <c r="D282">
        <v>17.501029995663984</v>
      </c>
      <c r="E282" t="s">
        <v>13</v>
      </c>
      <c r="F282" t="s">
        <v>12</v>
      </c>
      <c r="G282">
        <v>50</v>
      </c>
    </row>
    <row r="283" spans="1:7" x14ac:dyDescent="0.2">
      <c r="A283">
        <f t="shared" si="5"/>
        <v>24</v>
      </c>
      <c r="B283" t="s">
        <v>6</v>
      </c>
      <c r="C283">
        <f>IF(data!$B283&lt;&gt;data!$B282,1,C282+1)</f>
        <v>6</v>
      </c>
      <c r="D283">
        <v>16.22184874961636</v>
      </c>
      <c r="E283" t="s">
        <v>13</v>
      </c>
      <c r="F283" t="s">
        <v>12</v>
      </c>
      <c r="G283">
        <v>50</v>
      </c>
    </row>
    <row r="284" spans="1:7" x14ac:dyDescent="0.2">
      <c r="A284">
        <f t="shared" si="5"/>
        <v>24</v>
      </c>
      <c r="B284" t="s">
        <v>6</v>
      </c>
      <c r="C284">
        <f>IF(data!$B284&lt;&gt;data!$B283,1,C283+1)</f>
        <v>7</v>
      </c>
      <c r="D284">
        <v>14.954901959985747</v>
      </c>
      <c r="E284" t="s">
        <v>13</v>
      </c>
      <c r="F284" t="s">
        <v>12</v>
      </c>
      <c r="G284">
        <v>50</v>
      </c>
    </row>
    <row r="285" spans="1:7" x14ac:dyDescent="0.2">
      <c r="A285">
        <f t="shared" si="5"/>
        <v>24</v>
      </c>
      <c r="B285" t="s">
        <v>6</v>
      </c>
      <c r="C285">
        <f>IF(data!$B285&lt;&gt;data!$B284,1,C284+1)</f>
        <v>8</v>
      </c>
      <c r="D285">
        <v>13.696910013008061</v>
      </c>
      <c r="E285" t="s">
        <v>13</v>
      </c>
      <c r="F285" t="s">
        <v>12</v>
      </c>
      <c r="G285">
        <v>50</v>
      </c>
    </row>
    <row r="286" spans="1:7" x14ac:dyDescent="0.2">
      <c r="A286">
        <f t="shared" si="5"/>
        <v>24</v>
      </c>
      <c r="B286" t="s">
        <v>6</v>
      </c>
      <c r="C286">
        <f>IF(data!$B286&lt;&gt;data!$B285,1,C285+1)</f>
        <v>9</v>
      </c>
      <c r="D286">
        <v>12.44575749056068</v>
      </c>
      <c r="E286" t="s">
        <v>13</v>
      </c>
      <c r="F286" t="s">
        <v>12</v>
      </c>
      <c r="G286">
        <v>50</v>
      </c>
    </row>
    <row r="287" spans="1:7" x14ac:dyDescent="0.2">
      <c r="A287">
        <f t="shared" si="5"/>
        <v>24</v>
      </c>
      <c r="B287" t="s">
        <v>6</v>
      </c>
      <c r="C287">
        <f>IF(data!$B287&lt;&gt;data!$B286,1,C286+1)</f>
        <v>10</v>
      </c>
      <c r="D287">
        <v>11.200000000000006</v>
      </c>
      <c r="E287" t="s">
        <v>13</v>
      </c>
      <c r="F287" t="s">
        <v>12</v>
      </c>
      <c r="G287">
        <v>50</v>
      </c>
    </row>
    <row r="288" spans="1:7" x14ac:dyDescent="0.2">
      <c r="A288">
        <f t="shared" si="5"/>
        <v>24</v>
      </c>
      <c r="B288" t="s">
        <v>6</v>
      </c>
      <c r="C288">
        <f>IF(data!$B288&lt;&gt;data!$B287,1,C287+1)</f>
        <v>11</v>
      </c>
      <c r="D288">
        <v>9.9586073148417817</v>
      </c>
      <c r="E288" t="s">
        <v>13</v>
      </c>
      <c r="F288" t="s">
        <v>12</v>
      </c>
      <c r="G288">
        <v>50</v>
      </c>
    </row>
    <row r="289" spans="1:7" x14ac:dyDescent="0.2">
      <c r="A289">
        <f t="shared" si="5"/>
        <v>24</v>
      </c>
      <c r="B289" t="s">
        <v>6</v>
      </c>
      <c r="C289">
        <f>IF(data!$B289&lt;&gt;data!$B288,1,C288+1)</f>
        <v>12</v>
      </c>
      <c r="D289">
        <v>8.7208187539523827</v>
      </c>
      <c r="E289" t="s">
        <v>13</v>
      </c>
      <c r="F289" t="s">
        <v>12</v>
      </c>
      <c r="G289">
        <v>50</v>
      </c>
    </row>
    <row r="290" spans="1:7" x14ac:dyDescent="0.2">
      <c r="A290">
        <f t="shared" ref="A290:A353" si="6">IF(B290=B289,A289,A289+1)</f>
        <v>25</v>
      </c>
      <c r="B290" t="s">
        <v>5</v>
      </c>
      <c r="C290">
        <f>IF(data!$B290&lt;&gt;data!$B289,1,C289+1)</f>
        <v>1</v>
      </c>
      <c r="D290">
        <v>18</v>
      </c>
      <c r="E290" t="s">
        <v>7</v>
      </c>
      <c r="F290" t="s">
        <v>14</v>
      </c>
      <c r="G290">
        <v>50</v>
      </c>
    </row>
    <row r="291" spans="1:7" x14ac:dyDescent="0.2">
      <c r="A291">
        <f t="shared" si="6"/>
        <v>25</v>
      </c>
      <c r="B291" t="s">
        <v>5</v>
      </c>
      <c r="C291">
        <f>IF(data!$B291&lt;&gt;data!$B290,1,C290+1)</f>
        <v>2</v>
      </c>
      <c r="D291">
        <v>17</v>
      </c>
      <c r="E291" t="s">
        <v>7</v>
      </c>
      <c r="F291" t="s">
        <v>14</v>
      </c>
      <c r="G291">
        <v>50</v>
      </c>
    </row>
    <row r="292" spans="1:7" x14ac:dyDescent="0.2">
      <c r="A292">
        <f t="shared" si="6"/>
        <v>25</v>
      </c>
      <c r="B292" t="s">
        <v>5</v>
      </c>
      <c r="C292">
        <f>IF(data!$B292&lt;&gt;data!$B291,1,C291+1)</f>
        <v>3</v>
      </c>
      <c r="D292">
        <v>16</v>
      </c>
      <c r="E292" t="s">
        <v>7</v>
      </c>
      <c r="F292" t="s">
        <v>14</v>
      </c>
      <c r="G292">
        <v>50</v>
      </c>
    </row>
    <row r="293" spans="1:7" x14ac:dyDescent="0.2">
      <c r="A293">
        <f t="shared" si="6"/>
        <v>25</v>
      </c>
      <c r="B293" t="s">
        <v>5</v>
      </c>
      <c r="C293">
        <f>IF(data!$B293&lt;&gt;data!$B292,1,C292+1)</f>
        <v>4</v>
      </c>
      <c r="D293">
        <v>15</v>
      </c>
      <c r="E293" t="s">
        <v>7</v>
      </c>
      <c r="F293" t="s">
        <v>14</v>
      </c>
      <c r="G293">
        <v>50</v>
      </c>
    </row>
    <row r="294" spans="1:7" x14ac:dyDescent="0.2">
      <c r="A294">
        <f t="shared" si="6"/>
        <v>25</v>
      </c>
      <c r="B294" t="s">
        <v>5</v>
      </c>
      <c r="C294">
        <f>IF(data!$B294&lt;&gt;data!$B293,1,C293+1)</f>
        <v>5</v>
      </c>
      <c r="D294">
        <v>14</v>
      </c>
      <c r="E294" t="s">
        <v>7</v>
      </c>
      <c r="F294" t="s">
        <v>14</v>
      </c>
      <c r="G294">
        <v>50</v>
      </c>
    </row>
    <row r="295" spans="1:7" x14ac:dyDescent="0.2">
      <c r="A295">
        <f t="shared" si="6"/>
        <v>25</v>
      </c>
      <c r="B295" t="s">
        <v>5</v>
      </c>
      <c r="C295">
        <f>IF(data!$B295&lt;&gt;data!$B294,1,C294+1)</f>
        <v>6</v>
      </c>
      <c r="D295">
        <v>13</v>
      </c>
      <c r="E295" t="s">
        <v>7</v>
      </c>
      <c r="F295" t="s">
        <v>14</v>
      </c>
      <c r="G295">
        <v>50</v>
      </c>
    </row>
    <row r="296" spans="1:7" x14ac:dyDescent="0.2">
      <c r="A296">
        <f t="shared" si="6"/>
        <v>25</v>
      </c>
      <c r="B296" t="s">
        <v>5</v>
      </c>
      <c r="C296">
        <f>IF(data!$B296&lt;&gt;data!$B295,1,C295+1)</f>
        <v>7</v>
      </c>
      <c r="D296">
        <v>12</v>
      </c>
      <c r="E296" t="s">
        <v>7</v>
      </c>
      <c r="F296" t="s">
        <v>14</v>
      </c>
      <c r="G296">
        <v>50</v>
      </c>
    </row>
    <row r="297" spans="1:7" x14ac:dyDescent="0.2">
      <c r="A297">
        <f t="shared" si="6"/>
        <v>25</v>
      </c>
      <c r="B297" t="s">
        <v>5</v>
      </c>
      <c r="C297">
        <f>IF(data!$B297&lt;&gt;data!$B296,1,C296+1)</f>
        <v>8</v>
      </c>
      <c r="D297">
        <v>11</v>
      </c>
      <c r="E297" t="s">
        <v>7</v>
      </c>
      <c r="F297" t="s">
        <v>14</v>
      </c>
      <c r="G297">
        <v>50</v>
      </c>
    </row>
    <row r="298" spans="1:7" x14ac:dyDescent="0.2">
      <c r="A298">
        <f t="shared" si="6"/>
        <v>25</v>
      </c>
      <c r="B298" t="s">
        <v>5</v>
      </c>
      <c r="C298">
        <f>IF(data!$B298&lt;&gt;data!$B297,1,C297+1)</f>
        <v>9</v>
      </c>
      <c r="D298">
        <v>10</v>
      </c>
      <c r="E298" t="s">
        <v>7</v>
      </c>
      <c r="F298" t="s">
        <v>14</v>
      </c>
      <c r="G298">
        <v>50</v>
      </c>
    </row>
    <row r="299" spans="1:7" x14ac:dyDescent="0.2">
      <c r="A299">
        <f t="shared" si="6"/>
        <v>25</v>
      </c>
      <c r="B299" t="s">
        <v>5</v>
      </c>
      <c r="C299">
        <f>IF(data!$B299&lt;&gt;data!$B298,1,C298+1)</f>
        <v>10</v>
      </c>
      <c r="D299">
        <v>9</v>
      </c>
      <c r="E299" t="s">
        <v>7</v>
      </c>
      <c r="F299" t="s">
        <v>14</v>
      </c>
      <c r="G299">
        <v>50</v>
      </c>
    </row>
    <row r="300" spans="1:7" x14ac:dyDescent="0.2">
      <c r="A300">
        <f t="shared" si="6"/>
        <v>25</v>
      </c>
      <c r="B300" t="s">
        <v>5</v>
      </c>
      <c r="C300">
        <f>IF(data!$B300&lt;&gt;data!$B299,1,C299+1)</f>
        <v>11</v>
      </c>
      <c r="D300">
        <v>8</v>
      </c>
      <c r="E300" t="s">
        <v>7</v>
      </c>
      <c r="F300" t="s">
        <v>14</v>
      </c>
      <c r="G300">
        <v>50</v>
      </c>
    </row>
    <row r="301" spans="1:7" x14ac:dyDescent="0.2">
      <c r="A301">
        <f t="shared" si="6"/>
        <v>25</v>
      </c>
      <c r="B301" t="s">
        <v>5</v>
      </c>
      <c r="C301">
        <f>IF(data!$B301&lt;&gt;data!$B300,1,C300+1)</f>
        <v>12</v>
      </c>
      <c r="D301">
        <v>7</v>
      </c>
      <c r="E301" t="s">
        <v>7</v>
      </c>
      <c r="F301" t="s">
        <v>14</v>
      </c>
      <c r="G301">
        <v>50</v>
      </c>
    </row>
    <row r="302" spans="1:7" x14ac:dyDescent="0.2">
      <c r="A302">
        <f t="shared" si="6"/>
        <v>26</v>
      </c>
      <c r="B302" t="s">
        <v>6</v>
      </c>
      <c r="C302">
        <f>IF(data!$B302&lt;&gt;data!$B301,1,C301+1)</f>
        <v>1</v>
      </c>
      <c r="D302">
        <v>20</v>
      </c>
      <c r="E302" t="s">
        <v>7</v>
      </c>
      <c r="F302" t="s">
        <v>14</v>
      </c>
      <c r="G302">
        <v>50</v>
      </c>
    </row>
    <row r="303" spans="1:7" x14ac:dyDescent="0.2">
      <c r="A303">
        <f t="shared" si="6"/>
        <v>26</v>
      </c>
      <c r="B303" t="s">
        <v>6</v>
      </c>
      <c r="C303">
        <f>IF(data!$B303&lt;&gt;data!$B302,1,C302+1)</f>
        <v>2</v>
      </c>
      <c r="D303">
        <v>18.5</v>
      </c>
      <c r="E303" t="s">
        <v>7</v>
      </c>
      <c r="F303" t="s">
        <v>14</v>
      </c>
      <c r="G303">
        <v>50</v>
      </c>
    </row>
    <row r="304" spans="1:7" x14ac:dyDescent="0.2">
      <c r="A304">
        <f t="shared" si="6"/>
        <v>26</v>
      </c>
      <c r="B304" t="s">
        <v>6</v>
      </c>
      <c r="C304">
        <f>IF(data!$B304&lt;&gt;data!$B303,1,C303+1)</f>
        <v>3</v>
      </c>
      <c r="D304">
        <v>17</v>
      </c>
      <c r="E304" t="s">
        <v>7</v>
      </c>
      <c r="F304" t="s">
        <v>14</v>
      </c>
      <c r="G304">
        <v>50</v>
      </c>
    </row>
    <row r="305" spans="1:7" x14ac:dyDescent="0.2">
      <c r="A305">
        <f t="shared" si="6"/>
        <v>26</v>
      </c>
      <c r="B305" t="s">
        <v>6</v>
      </c>
      <c r="C305">
        <f>IF(data!$B305&lt;&gt;data!$B304,1,C304+1)</f>
        <v>4</v>
      </c>
      <c r="D305">
        <v>15.5</v>
      </c>
      <c r="E305" t="s">
        <v>7</v>
      </c>
      <c r="F305" t="s">
        <v>14</v>
      </c>
      <c r="G305">
        <v>50</v>
      </c>
    </row>
    <row r="306" spans="1:7" x14ac:dyDescent="0.2">
      <c r="A306">
        <f t="shared" si="6"/>
        <v>26</v>
      </c>
      <c r="B306" t="s">
        <v>6</v>
      </c>
      <c r="C306">
        <f>IF(data!$B306&lt;&gt;data!$B305,1,C305+1)</f>
        <v>5</v>
      </c>
      <c r="D306">
        <v>14</v>
      </c>
      <c r="E306" t="s">
        <v>7</v>
      </c>
      <c r="F306" t="s">
        <v>14</v>
      </c>
      <c r="G306">
        <v>50</v>
      </c>
    </row>
    <row r="307" spans="1:7" x14ac:dyDescent="0.2">
      <c r="A307">
        <f t="shared" si="6"/>
        <v>26</v>
      </c>
      <c r="B307" t="s">
        <v>6</v>
      </c>
      <c r="C307">
        <f>IF(data!$B307&lt;&gt;data!$B306,1,C306+1)</f>
        <v>6</v>
      </c>
      <c r="D307">
        <v>12.5</v>
      </c>
      <c r="E307" t="s">
        <v>7</v>
      </c>
      <c r="F307" t="s">
        <v>14</v>
      </c>
      <c r="G307">
        <v>50</v>
      </c>
    </row>
    <row r="308" spans="1:7" x14ac:dyDescent="0.2">
      <c r="A308">
        <f t="shared" si="6"/>
        <v>26</v>
      </c>
      <c r="B308" t="s">
        <v>6</v>
      </c>
      <c r="C308">
        <f>IF(data!$B308&lt;&gt;data!$B307,1,C307+1)</f>
        <v>7</v>
      </c>
      <c r="D308">
        <v>11</v>
      </c>
      <c r="E308" t="s">
        <v>7</v>
      </c>
      <c r="F308" t="s">
        <v>14</v>
      </c>
      <c r="G308">
        <v>50</v>
      </c>
    </row>
    <row r="309" spans="1:7" x14ac:dyDescent="0.2">
      <c r="A309">
        <f t="shared" si="6"/>
        <v>26</v>
      </c>
      <c r="B309" t="s">
        <v>6</v>
      </c>
      <c r="C309">
        <f>IF(data!$B309&lt;&gt;data!$B308,1,C308+1)</f>
        <v>8</v>
      </c>
      <c r="D309">
        <v>9.5</v>
      </c>
      <c r="E309" t="s">
        <v>7</v>
      </c>
      <c r="F309" t="s">
        <v>14</v>
      </c>
      <c r="G309">
        <v>50</v>
      </c>
    </row>
    <row r="310" spans="1:7" x14ac:dyDescent="0.2">
      <c r="A310">
        <f t="shared" si="6"/>
        <v>26</v>
      </c>
      <c r="B310" t="s">
        <v>6</v>
      </c>
      <c r="C310">
        <f>IF(data!$B310&lt;&gt;data!$B309,1,C309+1)</f>
        <v>9</v>
      </c>
      <c r="D310">
        <v>8</v>
      </c>
      <c r="E310" t="s">
        <v>7</v>
      </c>
      <c r="F310" t="s">
        <v>14</v>
      </c>
      <c r="G310">
        <v>50</v>
      </c>
    </row>
    <row r="311" spans="1:7" x14ac:dyDescent="0.2">
      <c r="A311">
        <f t="shared" si="6"/>
        <v>26</v>
      </c>
      <c r="B311" t="s">
        <v>6</v>
      </c>
      <c r="C311">
        <f>IF(data!$B311&lt;&gt;data!$B310,1,C310+1)</f>
        <v>10</v>
      </c>
      <c r="D311">
        <v>6.5</v>
      </c>
      <c r="E311" t="s">
        <v>7</v>
      </c>
      <c r="F311" t="s">
        <v>14</v>
      </c>
      <c r="G311">
        <v>50</v>
      </c>
    </row>
    <row r="312" spans="1:7" x14ac:dyDescent="0.2">
      <c r="A312">
        <f t="shared" si="6"/>
        <v>26</v>
      </c>
      <c r="B312" t="s">
        <v>6</v>
      </c>
      <c r="C312">
        <f>IF(data!$B312&lt;&gt;data!$B311,1,C311+1)</f>
        <v>11</v>
      </c>
      <c r="D312">
        <v>5</v>
      </c>
      <c r="E312" t="s">
        <v>7</v>
      </c>
      <c r="F312" t="s">
        <v>14</v>
      </c>
      <c r="G312">
        <v>50</v>
      </c>
    </row>
    <row r="313" spans="1:7" x14ac:dyDescent="0.2">
      <c r="A313">
        <f t="shared" si="6"/>
        <v>26</v>
      </c>
      <c r="B313" t="s">
        <v>6</v>
      </c>
      <c r="C313">
        <f>IF(data!$B313&lt;&gt;data!$B312,1,C312+1)</f>
        <v>12</v>
      </c>
      <c r="D313">
        <v>3.5</v>
      </c>
      <c r="E313" t="s">
        <v>7</v>
      </c>
      <c r="F313" t="s">
        <v>14</v>
      </c>
      <c r="G313">
        <v>50</v>
      </c>
    </row>
    <row r="314" spans="1:7" x14ac:dyDescent="0.2">
      <c r="A314">
        <f t="shared" si="6"/>
        <v>27</v>
      </c>
      <c r="B314" t="s">
        <v>5</v>
      </c>
      <c r="C314">
        <f>IF(data!$B314&lt;&gt;data!$B313,1,C313+1)</f>
        <v>1</v>
      </c>
      <c r="D314">
        <v>19</v>
      </c>
      <c r="E314" t="s">
        <v>13</v>
      </c>
      <c r="F314" t="s">
        <v>14</v>
      </c>
      <c r="G314">
        <v>50</v>
      </c>
    </row>
    <row r="315" spans="1:7" x14ac:dyDescent="0.2">
      <c r="A315">
        <f t="shared" si="6"/>
        <v>27</v>
      </c>
      <c r="B315" t="s">
        <v>5</v>
      </c>
      <c r="C315">
        <f>IF(data!$B315&lt;&gt;data!$B314,1,C314+1)</f>
        <v>2</v>
      </c>
      <c r="D315">
        <v>18.5</v>
      </c>
      <c r="E315" t="s">
        <v>13</v>
      </c>
      <c r="F315" t="s">
        <v>14</v>
      </c>
      <c r="G315">
        <v>50</v>
      </c>
    </row>
    <row r="316" spans="1:7" x14ac:dyDescent="0.2">
      <c r="A316">
        <f t="shared" si="6"/>
        <v>27</v>
      </c>
      <c r="B316" t="s">
        <v>5</v>
      </c>
      <c r="C316">
        <f>IF(data!$B316&lt;&gt;data!$B315,1,C315+1)</f>
        <v>3</v>
      </c>
      <c r="D316">
        <v>18</v>
      </c>
      <c r="E316" t="s">
        <v>13</v>
      </c>
      <c r="F316" t="s">
        <v>14</v>
      </c>
      <c r="G316">
        <v>50</v>
      </c>
    </row>
    <row r="317" spans="1:7" x14ac:dyDescent="0.2">
      <c r="A317">
        <f t="shared" si="6"/>
        <v>27</v>
      </c>
      <c r="B317" t="s">
        <v>5</v>
      </c>
      <c r="C317">
        <f>IF(data!$B317&lt;&gt;data!$B316,1,C316+1)</f>
        <v>4</v>
      </c>
      <c r="D317">
        <v>17.5</v>
      </c>
      <c r="E317" t="s">
        <v>13</v>
      </c>
      <c r="F317" t="s">
        <v>14</v>
      </c>
      <c r="G317">
        <v>50</v>
      </c>
    </row>
    <row r="318" spans="1:7" x14ac:dyDescent="0.2">
      <c r="A318">
        <f t="shared" si="6"/>
        <v>27</v>
      </c>
      <c r="B318" t="s">
        <v>5</v>
      </c>
      <c r="C318">
        <f>IF(data!$B318&lt;&gt;data!$B317,1,C317+1)</f>
        <v>5</v>
      </c>
      <c r="D318">
        <v>17</v>
      </c>
      <c r="E318" t="s">
        <v>13</v>
      </c>
      <c r="F318" t="s">
        <v>14</v>
      </c>
      <c r="G318">
        <v>50</v>
      </c>
    </row>
    <row r="319" spans="1:7" x14ac:dyDescent="0.2">
      <c r="A319">
        <f t="shared" si="6"/>
        <v>27</v>
      </c>
      <c r="B319" t="s">
        <v>5</v>
      </c>
      <c r="C319">
        <f>IF(data!$B319&lt;&gt;data!$B318,1,C318+1)</f>
        <v>6</v>
      </c>
      <c r="D319">
        <v>16.5</v>
      </c>
      <c r="E319" t="s">
        <v>13</v>
      </c>
      <c r="F319" t="s">
        <v>14</v>
      </c>
      <c r="G319">
        <v>50</v>
      </c>
    </row>
    <row r="320" spans="1:7" x14ac:dyDescent="0.2">
      <c r="A320">
        <f t="shared" si="6"/>
        <v>27</v>
      </c>
      <c r="B320" t="s">
        <v>5</v>
      </c>
      <c r="C320">
        <f>IF(data!$B320&lt;&gt;data!$B319,1,C319+1)</f>
        <v>7</v>
      </c>
      <c r="D320">
        <v>16</v>
      </c>
      <c r="E320" t="s">
        <v>13</v>
      </c>
      <c r="F320" t="s">
        <v>14</v>
      </c>
      <c r="G320">
        <v>50</v>
      </c>
    </row>
    <row r="321" spans="1:7" x14ac:dyDescent="0.2">
      <c r="A321">
        <f t="shared" si="6"/>
        <v>27</v>
      </c>
      <c r="B321" t="s">
        <v>5</v>
      </c>
      <c r="C321">
        <f>IF(data!$B321&lt;&gt;data!$B320,1,C320+1)</f>
        <v>8</v>
      </c>
      <c r="D321">
        <v>15.5</v>
      </c>
      <c r="E321" t="s">
        <v>13</v>
      </c>
      <c r="F321" t="s">
        <v>14</v>
      </c>
      <c r="G321">
        <v>50</v>
      </c>
    </row>
    <row r="322" spans="1:7" x14ac:dyDescent="0.2">
      <c r="A322">
        <f t="shared" si="6"/>
        <v>27</v>
      </c>
      <c r="B322" t="s">
        <v>5</v>
      </c>
      <c r="C322">
        <f>IF(data!$B322&lt;&gt;data!$B321,1,C321+1)</f>
        <v>9</v>
      </c>
      <c r="D322">
        <v>15</v>
      </c>
      <c r="E322" t="s">
        <v>13</v>
      </c>
      <c r="F322" t="s">
        <v>14</v>
      </c>
      <c r="G322">
        <v>50</v>
      </c>
    </row>
    <row r="323" spans="1:7" x14ac:dyDescent="0.2">
      <c r="A323">
        <f t="shared" si="6"/>
        <v>27</v>
      </c>
      <c r="B323" t="s">
        <v>5</v>
      </c>
      <c r="C323">
        <f>IF(data!$B323&lt;&gt;data!$B322,1,C322+1)</f>
        <v>10</v>
      </c>
      <c r="D323">
        <v>14.5</v>
      </c>
      <c r="E323" t="s">
        <v>13</v>
      </c>
      <c r="F323" t="s">
        <v>14</v>
      </c>
      <c r="G323">
        <v>50</v>
      </c>
    </row>
    <row r="324" spans="1:7" x14ac:dyDescent="0.2">
      <c r="A324">
        <f t="shared" si="6"/>
        <v>27</v>
      </c>
      <c r="B324" t="s">
        <v>5</v>
      </c>
      <c r="C324">
        <f>IF(data!$B324&lt;&gt;data!$B323,1,C323+1)</f>
        <v>11</v>
      </c>
      <c r="D324">
        <v>14</v>
      </c>
      <c r="E324" t="s">
        <v>13</v>
      </c>
      <c r="F324" t="s">
        <v>14</v>
      </c>
      <c r="G324">
        <v>50</v>
      </c>
    </row>
    <row r="325" spans="1:7" x14ac:dyDescent="0.2">
      <c r="A325">
        <f t="shared" si="6"/>
        <v>27</v>
      </c>
      <c r="B325" t="s">
        <v>5</v>
      </c>
      <c r="C325">
        <f>IF(data!$B325&lt;&gt;data!$B324,1,C324+1)</f>
        <v>12</v>
      </c>
      <c r="D325">
        <v>13.5</v>
      </c>
      <c r="E325" t="s">
        <v>13</v>
      </c>
      <c r="F325" t="s">
        <v>14</v>
      </c>
      <c r="G325">
        <v>50</v>
      </c>
    </row>
    <row r="326" spans="1:7" x14ac:dyDescent="0.2">
      <c r="A326">
        <f t="shared" si="6"/>
        <v>28</v>
      </c>
      <c r="B326" t="s">
        <v>6</v>
      </c>
      <c r="C326">
        <f>IF(data!$B326&lt;&gt;data!$B325,1,C325+1)</f>
        <v>1</v>
      </c>
      <c r="D326">
        <v>21</v>
      </c>
      <c r="E326" t="s">
        <v>13</v>
      </c>
      <c r="F326" t="s">
        <v>14</v>
      </c>
      <c r="G326">
        <v>50</v>
      </c>
    </row>
    <row r="327" spans="1:7" x14ac:dyDescent="0.2">
      <c r="A327">
        <f t="shared" si="6"/>
        <v>28</v>
      </c>
      <c r="B327" t="s">
        <v>6</v>
      </c>
      <c r="C327">
        <f>IF(data!$B327&lt;&gt;data!$B326,1,C326+1)</f>
        <v>2</v>
      </c>
      <c r="D327">
        <v>19.8</v>
      </c>
      <c r="E327" t="s">
        <v>13</v>
      </c>
      <c r="F327" t="s">
        <v>14</v>
      </c>
      <c r="G327">
        <v>50</v>
      </c>
    </row>
    <row r="328" spans="1:7" x14ac:dyDescent="0.2">
      <c r="A328">
        <f t="shared" si="6"/>
        <v>28</v>
      </c>
      <c r="B328" t="s">
        <v>6</v>
      </c>
      <c r="C328">
        <f>IF(data!$B328&lt;&gt;data!$B327,1,C327+1)</f>
        <v>3</v>
      </c>
      <c r="D328">
        <v>18.600000000000001</v>
      </c>
      <c r="E328" t="s">
        <v>13</v>
      </c>
      <c r="F328" t="s">
        <v>14</v>
      </c>
      <c r="G328">
        <v>50</v>
      </c>
    </row>
    <row r="329" spans="1:7" x14ac:dyDescent="0.2">
      <c r="A329">
        <f t="shared" si="6"/>
        <v>28</v>
      </c>
      <c r="B329" t="s">
        <v>6</v>
      </c>
      <c r="C329">
        <f>IF(data!$B329&lt;&gt;data!$B328,1,C328+1)</f>
        <v>4</v>
      </c>
      <c r="D329">
        <v>17.400000000000002</v>
      </c>
      <c r="E329" t="s">
        <v>13</v>
      </c>
      <c r="F329" t="s">
        <v>14</v>
      </c>
      <c r="G329">
        <v>50</v>
      </c>
    </row>
    <row r="330" spans="1:7" x14ac:dyDescent="0.2">
      <c r="A330">
        <f t="shared" si="6"/>
        <v>28</v>
      </c>
      <c r="B330" t="s">
        <v>6</v>
      </c>
      <c r="C330">
        <f>IF(data!$B330&lt;&gt;data!$B329,1,C329+1)</f>
        <v>5</v>
      </c>
      <c r="D330">
        <v>16.200000000000003</v>
      </c>
      <c r="E330" t="s">
        <v>13</v>
      </c>
      <c r="F330" t="s">
        <v>14</v>
      </c>
      <c r="G330">
        <v>50</v>
      </c>
    </row>
    <row r="331" spans="1:7" x14ac:dyDescent="0.2">
      <c r="A331">
        <f t="shared" si="6"/>
        <v>28</v>
      </c>
      <c r="B331" t="s">
        <v>6</v>
      </c>
      <c r="C331">
        <f>IF(data!$B331&lt;&gt;data!$B330,1,C330+1)</f>
        <v>6</v>
      </c>
      <c r="D331">
        <v>15.000000000000004</v>
      </c>
      <c r="E331" t="s">
        <v>13</v>
      </c>
      <c r="F331" t="s">
        <v>14</v>
      </c>
      <c r="G331">
        <v>50</v>
      </c>
    </row>
    <row r="332" spans="1:7" x14ac:dyDescent="0.2">
      <c r="A332">
        <f t="shared" si="6"/>
        <v>28</v>
      </c>
      <c r="B332" t="s">
        <v>6</v>
      </c>
      <c r="C332">
        <f>IF(data!$B332&lt;&gt;data!$B331,1,C331+1)</f>
        <v>7</v>
      </c>
      <c r="D332">
        <v>13.800000000000004</v>
      </c>
      <c r="E332" t="s">
        <v>13</v>
      </c>
      <c r="F332" t="s">
        <v>14</v>
      </c>
      <c r="G332">
        <v>50</v>
      </c>
    </row>
    <row r="333" spans="1:7" x14ac:dyDescent="0.2">
      <c r="A333">
        <f t="shared" si="6"/>
        <v>28</v>
      </c>
      <c r="B333" t="s">
        <v>6</v>
      </c>
      <c r="C333">
        <f>IF(data!$B333&lt;&gt;data!$B332,1,C332+1)</f>
        <v>8</v>
      </c>
      <c r="D333">
        <v>12.600000000000005</v>
      </c>
      <c r="E333" t="s">
        <v>13</v>
      </c>
      <c r="F333" t="s">
        <v>14</v>
      </c>
      <c r="G333">
        <v>50</v>
      </c>
    </row>
    <row r="334" spans="1:7" x14ac:dyDescent="0.2">
      <c r="A334">
        <f t="shared" si="6"/>
        <v>28</v>
      </c>
      <c r="B334" t="s">
        <v>6</v>
      </c>
      <c r="C334">
        <f>IF(data!$B334&lt;&gt;data!$B333,1,C333+1)</f>
        <v>9</v>
      </c>
      <c r="D334">
        <v>11.400000000000006</v>
      </c>
      <c r="E334" t="s">
        <v>13</v>
      </c>
      <c r="F334" t="s">
        <v>14</v>
      </c>
      <c r="G334">
        <v>50</v>
      </c>
    </row>
    <row r="335" spans="1:7" x14ac:dyDescent="0.2">
      <c r="A335">
        <f t="shared" si="6"/>
        <v>28</v>
      </c>
      <c r="B335" t="s">
        <v>6</v>
      </c>
      <c r="C335">
        <f>IF(data!$B335&lt;&gt;data!$B334,1,C334+1)</f>
        <v>10</v>
      </c>
      <c r="D335">
        <v>10.200000000000006</v>
      </c>
      <c r="E335" t="s">
        <v>13</v>
      </c>
      <c r="F335" t="s">
        <v>14</v>
      </c>
      <c r="G335">
        <v>50</v>
      </c>
    </row>
    <row r="336" spans="1:7" x14ac:dyDescent="0.2">
      <c r="A336">
        <f t="shared" si="6"/>
        <v>28</v>
      </c>
      <c r="B336" t="s">
        <v>6</v>
      </c>
      <c r="C336">
        <f>IF(data!$B336&lt;&gt;data!$B335,1,C335+1)</f>
        <v>11</v>
      </c>
      <c r="D336">
        <v>9.0000000000000071</v>
      </c>
      <c r="E336" t="s">
        <v>13</v>
      </c>
      <c r="F336" t="s">
        <v>14</v>
      </c>
      <c r="G336">
        <v>50</v>
      </c>
    </row>
    <row r="337" spans="1:7" x14ac:dyDescent="0.2">
      <c r="A337">
        <f t="shared" si="6"/>
        <v>28</v>
      </c>
      <c r="B337" t="s">
        <v>6</v>
      </c>
      <c r="C337">
        <f>IF(data!$B337&lt;&gt;data!$B336,1,C336+1)</f>
        <v>12</v>
      </c>
      <c r="D337">
        <v>7.8000000000000069</v>
      </c>
      <c r="E337" t="s">
        <v>13</v>
      </c>
      <c r="F337" t="s">
        <v>14</v>
      </c>
      <c r="G337">
        <v>50</v>
      </c>
    </row>
    <row r="338" spans="1:7" x14ac:dyDescent="0.2">
      <c r="A338">
        <f t="shared" si="6"/>
        <v>29</v>
      </c>
      <c r="B338" t="s">
        <v>5</v>
      </c>
      <c r="C338">
        <f>IF(data!$B338&lt;&gt;data!$B337,1,C337+1)</f>
        <v>1</v>
      </c>
      <c r="D338">
        <v>18</v>
      </c>
      <c r="E338" t="s">
        <v>7</v>
      </c>
      <c r="F338" t="s">
        <v>12</v>
      </c>
      <c r="G338">
        <v>50</v>
      </c>
    </row>
    <row r="339" spans="1:7" x14ac:dyDescent="0.2">
      <c r="A339">
        <f t="shared" si="6"/>
        <v>29</v>
      </c>
      <c r="B339" t="s">
        <v>5</v>
      </c>
      <c r="C339">
        <f>IF(data!$B339&lt;&gt;data!$B338,1,C338+1)</f>
        <v>2</v>
      </c>
      <c r="D339">
        <v>16.698970004336019</v>
      </c>
      <c r="E339" t="s">
        <v>7</v>
      </c>
      <c r="F339" t="s">
        <v>12</v>
      </c>
      <c r="G339">
        <v>50</v>
      </c>
    </row>
    <row r="340" spans="1:7" x14ac:dyDescent="0.2">
      <c r="A340">
        <f t="shared" si="6"/>
        <v>29</v>
      </c>
      <c r="B340" t="s">
        <v>5</v>
      </c>
      <c r="C340">
        <f>IF(data!$B340&lt;&gt;data!$B339,1,C339+1)</f>
        <v>3</v>
      </c>
      <c r="D340">
        <v>15.522878745280337</v>
      </c>
      <c r="E340" t="s">
        <v>7</v>
      </c>
      <c r="F340" t="s">
        <v>12</v>
      </c>
      <c r="G340">
        <v>50</v>
      </c>
    </row>
    <row r="341" spans="1:7" x14ac:dyDescent="0.2">
      <c r="A341">
        <f t="shared" si="6"/>
        <v>29</v>
      </c>
      <c r="B341" t="s">
        <v>5</v>
      </c>
      <c r="C341">
        <f>IF(data!$B341&lt;&gt;data!$B340,1,C340+1)</f>
        <v>4</v>
      </c>
      <c r="D341">
        <v>14.397940008672037</v>
      </c>
      <c r="E341" t="s">
        <v>7</v>
      </c>
      <c r="F341" t="s">
        <v>12</v>
      </c>
      <c r="G341">
        <v>50</v>
      </c>
    </row>
    <row r="342" spans="1:7" x14ac:dyDescent="0.2">
      <c r="A342">
        <f t="shared" si="6"/>
        <v>29</v>
      </c>
      <c r="B342" t="s">
        <v>5</v>
      </c>
      <c r="C342">
        <f>IF(data!$B342&lt;&gt;data!$B341,1,C341+1)</f>
        <v>5</v>
      </c>
      <c r="D342">
        <v>13.301029995663981</v>
      </c>
      <c r="E342" t="s">
        <v>7</v>
      </c>
      <c r="F342" t="s">
        <v>12</v>
      </c>
      <c r="G342">
        <v>50</v>
      </c>
    </row>
    <row r="343" spans="1:7" x14ac:dyDescent="0.2">
      <c r="A343">
        <f t="shared" si="6"/>
        <v>29</v>
      </c>
      <c r="B343" t="s">
        <v>5</v>
      </c>
      <c r="C343">
        <f>IF(data!$B343&lt;&gt;data!$B342,1,C342+1)</f>
        <v>6</v>
      </c>
      <c r="D343">
        <v>12.221848749616356</v>
      </c>
      <c r="E343" t="s">
        <v>7</v>
      </c>
      <c r="F343" t="s">
        <v>12</v>
      </c>
      <c r="G343">
        <v>50</v>
      </c>
    </row>
    <row r="344" spans="1:7" x14ac:dyDescent="0.2">
      <c r="A344">
        <f t="shared" si="6"/>
        <v>29</v>
      </c>
      <c r="B344" t="s">
        <v>5</v>
      </c>
      <c r="C344">
        <f>IF(data!$B344&lt;&gt;data!$B343,1,C343+1)</f>
        <v>7</v>
      </c>
      <c r="D344">
        <v>11.154901959985743</v>
      </c>
      <c r="E344" t="s">
        <v>7</v>
      </c>
      <c r="F344" t="s">
        <v>12</v>
      </c>
      <c r="G344">
        <v>50</v>
      </c>
    </row>
    <row r="345" spans="1:7" x14ac:dyDescent="0.2">
      <c r="A345">
        <f t="shared" si="6"/>
        <v>29</v>
      </c>
      <c r="B345" t="s">
        <v>5</v>
      </c>
      <c r="C345">
        <f>IF(data!$B345&lt;&gt;data!$B344,1,C344+1)</f>
        <v>8</v>
      </c>
      <c r="D345">
        <v>10.096910013008056</v>
      </c>
      <c r="E345" t="s">
        <v>7</v>
      </c>
      <c r="F345" t="s">
        <v>12</v>
      </c>
      <c r="G345">
        <v>50</v>
      </c>
    </row>
    <row r="346" spans="1:7" x14ac:dyDescent="0.2">
      <c r="A346">
        <f t="shared" si="6"/>
        <v>29</v>
      </c>
      <c r="B346" t="s">
        <v>5</v>
      </c>
      <c r="C346">
        <f>IF(data!$B346&lt;&gt;data!$B345,1,C345+1)</f>
        <v>9</v>
      </c>
      <c r="D346">
        <v>9.0457574905606748</v>
      </c>
      <c r="E346" t="s">
        <v>7</v>
      </c>
      <c r="F346" t="s">
        <v>12</v>
      </c>
      <c r="G346">
        <v>50</v>
      </c>
    </row>
    <row r="347" spans="1:7" x14ac:dyDescent="0.2">
      <c r="A347">
        <f t="shared" si="6"/>
        <v>29</v>
      </c>
      <c r="B347" t="s">
        <v>5</v>
      </c>
      <c r="C347">
        <f>IF(data!$B347&lt;&gt;data!$B346,1,C346+1)</f>
        <v>10</v>
      </c>
      <c r="D347">
        <v>8</v>
      </c>
      <c r="E347" t="s">
        <v>7</v>
      </c>
      <c r="F347" t="s">
        <v>12</v>
      </c>
      <c r="G347">
        <v>50</v>
      </c>
    </row>
    <row r="348" spans="1:7" x14ac:dyDescent="0.2">
      <c r="A348">
        <f t="shared" si="6"/>
        <v>29</v>
      </c>
      <c r="B348" t="s">
        <v>5</v>
      </c>
      <c r="C348">
        <f>IF(data!$B348&lt;&gt;data!$B347,1,C347+1)</f>
        <v>11</v>
      </c>
      <c r="D348">
        <v>6.9586073148417746</v>
      </c>
      <c r="E348" t="s">
        <v>7</v>
      </c>
      <c r="F348" t="s">
        <v>12</v>
      </c>
      <c r="G348">
        <v>50</v>
      </c>
    </row>
    <row r="349" spans="1:7" x14ac:dyDescent="0.2">
      <c r="A349">
        <f t="shared" si="6"/>
        <v>29</v>
      </c>
      <c r="B349" t="s">
        <v>5</v>
      </c>
      <c r="C349">
        <f>IF(data!$B349&lt;&gt;data!$B348,1,C348+1)</f>
        <v>12</v>
      </c>
      <c r="D349">
        <v>5.9208187539523749</v>
      </c>
      <c r="E349" t="s">
        <v>7</v>
      </c>
      <c r="F349" t="s">
        <v>12</v>
      </c>
      <c r="G349">
        <v>50</v>
      </c>
    </row>
    <row r="350" spans="1:7" x14ac:dyDescent="0.2">
      <c r="A350">
        <f t="shared" si="6"/>
        <v>30</v>
      </c>
      <c r="B350" t="s">
        <v>6</v>
      </c>
      <c r="C350">
        <f>IF(data!$B350&lt;&gt;data!$B349,1,C349+1)</f>
        <v>1</v>
      </c>
      <c r="D350">
        <v>20</v>
      </c>
      <c r="E350" t="s">
        <v>7</v>
      </c>
      <c r="F350" t="s">
        <v>12</v>
      </c>
      <c r="G350">
        <v>50</v>
      </c>
    </row>
    <row r="351" spans="1:7" x14ac:dyDescent="0.2">
      <c r="A351">
        <f t="shared" si="6"/>
        <v>30</v>
      </c>
      <c r="B351" t="s">
        <v>6</v>
      </c>
      <c r="C351">
        <f>IF(data!$B351&lt;&gt;data!$B350,1,C350+1)</f>
        <v>2</v>
      </c>
      <c r="D351">
        <v>18.198970004336019</v>
      </c>
      <c r="E351" t="s">
        <v>7</v>
      </c>
      <c r="F351" t="s">
        <v>12</v>
      </c>
      <c r="G351">
        <v>50</v>
      </c>
    </row>
    <row r="352" spans="1:7" x14ac:dyDescent="0.2">
      <c r="A352">
        <f t="shared" si="6"/>
        <v>30</v>
      </c>
      <c r="B352" t="s">
        <v>6</v>
      </c>
      <c r="C352">
        <f>IF(data!$B352&lt;&gt;data!$B351,1,C351+1)</f>
        <v>3</v>
      </c>
      <c r="D352">
        <v>16.522878745280337</v>
      </c>
      <c r="E352" t="s">
        <v>7</v>
      </c>
      <c r="F352" t="s">
        <v>12</v>
      </c>
      <c r="G352">
        <v>50</v>
      </c>
    </row>
    <row r="353" spans="1:7" x14ac:dyDescent="0.2">
      <c r="A353">
        <f t="shared" si="6"/>
        <v>30</v>
      </c>
      <c r="B353" t="s">
        <v>6</v>
      </c>
      <c r="C353">
        <f>IF(data!$B353&lt;&gt;data!$B352,1,C352+1)</f>
        <v>4</v>
      </c>
      <c r="D353">
        <v>14.897940008672037</v>
      </c>
      <c r="E353" t="s">
        <v>7</v>
      </c>
      <c r="F353" t="s">
        <v>12</v>
      </c>
      <c r="G353">
        <v>50</v>
      </c>
    </row>
    <row r="354" spans="1:7" x14ac:dyDescent="0.2">
      <c r="A354">
        <f t="shared" ref="A354:A417" si="7">IF(B354=B353,A353,A353+1)</f>
        <v>30</v>
      </c>
      <c r="B354" t="s">
        <v>6</v>
      </c>
      <c r="C354">
        <f>IF(data!$B354&lt;&gt;data!$B353,1,C353+1)</f>
        <v>5</v>
      </c>
      <c r="D354">
        <v>13.301029995663981</v>
      </c>
      <c r="E354" t="s">
        <v>7</v>
      </c>
      <c r="F354" t="s">
        <v>12</v>
      </c>
      <c r="G354">
        <v>50</v>
      </c>
    </row>
    <row r="355" spans="1:7" x14ac:dyDescent="0.2">
      <c r="A355">
        <f t="shared" si="7"/>
        <v>30</v>
      </c>
      <c r="B355" t="s">
        <v>6</v>
      </c>
      <c r="C355">
        <f>IF(data!$B355&lt;&gt;data!$B354,1,C354+1)</f>
        <v>6</v>
      </c>
      <c r="D355">
        <v>11.721848749616356</v>
      </c>
      <c r="E355" t="s">
        <v>7</v>
      </c>
      <c r="F355" t="s">
        <v>12</v>
      </c>
      <c r="G355">
        <v>50</v>
      </c>
    </row>
    <row r="356" spans="1:7" x14ac:dyDescent="0.2">
      <c r="A356">
        <f t="shared" si="7"/>
        <v>30</v>
      </c>
      <c r="B356" t="s">
        <v>6</v>
      </c>
      <c r="C356">
        <f>IF(data!$B356&lt;&gt;data!$B355,1,C355+1)</f>
        <v>7</v>
      </c>
      <c r="D356">
        <v>10.154901959985743</v>
      </c>
      <c r="E356" t="s">
        <v>7</v>
      </c>
      <c r="F356" t="s">
        <v>12</v>
      </c>
      <c r="G356">
        <v>50</v>
      </c>
    </row>
    <row r="357" spans="1:7" x14ac:dyDescent="0.2">
      <c r="A357">
        <f t="shared" si="7"/>
        <v>30</v>
      </c>
      <c r="B357" t="s">
        <v>6</v>
      </c>
      <c r="C357">
        <f>IF(data!$B357&lt;&gt;data!$B356,1,C356+1)</f>
        <v>8</v>
      </c>
      <c r="D357">
        <v>8.5969100130080562</v>
      </c>
      <c r="E357" t="s">
        <v>7</v>
      </c>
      <c r="F357" t="s">
        <v>12</v>
      </c>
      <c r="G357">
        <v>50</v>
      </c>
    </row>
    <row r="358" spans="1:7" x14ac:dyDescent="0.2">
      <c r="A358">
        <f t="shared" si="7"/>
        <v>30</v>
      </c>
      <c r="B358" t="s">
        <v>6</v>
      </c>
      <c r="C358">
        <f>IF(data!$B358&lt;&gt;data!$B357,1,C357+1)</f>
        <v>9</v>
      </c>
      <c r="D358">
        <v>7.0457574905606748</v>
      </c>
      <c r="E358" t="s">
        <v>7</v>
      </c>
      <c r="F358" t="s">
        <v>12</v>
      </c>
      <c r="G358">
        <v>50</v>
      </c>
    </row>
    <row r="359" spans="1:7" x14ac:dyDescent="0.2">
      <c r="A359">
        <f t="shared" si="7"/>
        <v>30</v>
      </c>
      <c r="B359" t="s">
        <v>6</v>
      </c>
      <c r="C359">
        <f>IF(data!$B359&lt;&gt;data!$B358,1,C358+1)</f>
        <v>10</v>
      </c>
      <c r="D359">
        <v>5.5</v>
      </c>
      <c r="E359" t="s">
        <v>7</v>
      </c>
      <c r="F359" t="s">
        <v>12</v>
      </c>
      <c r="G359">
        <v>50</v>
      </c>
    </row>
    <row r="360" spans="1:7" x14ac:dyDescent="0.2">
      <c r="A360">
        <f t="shared" si="7"/>
        <v>30</v>
      </c>
      <c r="B360" t="s">
        <v>6</v>
      </c>
      <c r="C360">
        <f>IF(data!$B360&lt;&gt;data!$B359,1,C359+1)</f>
        <v>11</v>
      </c>
      <c r="D360">
        <v>3.9586073148417746</v>
      </c>
      <c r="E360" t="s">
        <v>7</v>
      </c>
      <c r="F360" t="s">
        <v>12</v>
      </c>
      <c r="G360">
        <v>50</v>
      </c>
    </row>
    <row r="361" spans="1:7" x14ac:dyDescent="0.2">
      <c r="A361">
        <f t="shared" si="7"/>
        <v>30</v>
      </c>
      <c r="B361" t="s">
        <v>6</v>
      </c>
      <c r="C361">
        <f>IF(data!$B361&lt;&gt;data!$B360,1,C360+1)</f>
        <v>12</v>
      </c>
      <c r="D361">
        <v>2.4208187539523749</v>
      </c>
      <c r="E361" t="s">
        <v>7</v>
      </c>
      <c r="F361" t="s">
        <v>12</v>
      </c>
      <c r="G361">
        <v>50</v>
      </c>
    </row>
    <row r="362" spans="1:7" x14ac:dyDescent="0.2">
      <c r="A362">
        <f t="shared" si="7"/>
        <v>31</v>
      </c>
      <c r="B362" t="s">
        <v>5</v>
      </c>
      <c r="C362">
        <f>IF(data!$B362&lt;&gt;data!$B361,1,C361+1)</f>
        <v>1</v>
      </c>
      <c r="D362">
        <v>19</v>
      </c>
      <c r="E362" t="s">
        <v>13</v>
      </c>
      <c r="F362" t="s">
        <v>12</v>
      </c>
      <c r="G362">
        <v>50</v>
      </c>
    </row>
    <row r="363" spans="1:7" x14ac:dyDescent="0.2">
      <c r="A363">
        <f t="shared" si="7"/>
        <v>31</v>
      </c>
      <c r="B363" t="s">
        <v>5</v>
      </c>
      <c r="C363">
        <f>IF(data!$B363&lt;&gt;data!$B362,1,C362+1)</f>
        <v>2</v>
      </c>
      <c r="D363">
        <v>18.198970004336019</v>
      </c>
      <c r="E363" t="s">
        <v>13</v>
      </c>
      <c r="F363" t="s">
        <v>12</v>
      </c>
      <c r="G363">
        <v>50</v>
      </c>
    </row>
    <row r="364" spans="1:7" x14ac:dyDescent="0.2">
      <c r="A364">
        <f t="shared" si="7"/>
        <v>31</v>
      </c>
      <c r="B364" t="s">
        <v>5</v>
      </c>
      <c r="C364">
        <f>IF(data!$B364&lt;&gt;data!$B363,1,C363+1)</f>
        <v>3</v>
      </c>
      <c r="D364">
        <v>17.522878745280337</v>
      </c>
      <c r="E364" t="s">
        <v>13</v>
      </c>
      <c r="F364" t="s">
        <v>12</v>
      </c>
      <c r="G364">
        <v>50</v>
      </c>
    </row>
    <row r="365" spans="1:7" x14ac:dyDescent="0.2">
      <c r="A365">
        <f t="shared" si="7"/>
        <v>31</v>
      </c>
      <c r="B365" t="s">
        <v>5</v>
      </c>
      <c r="C365">
        <f>IF(data!$B365&lt;&gt;data!$B364,1,C364+1)</f>
        <v>4</v>
      </c>
      <c r="D365">
        <v>16.897940008672037</v>
      </c>
      <c r="E365" t="s">
        <v>13</v>
      </c>
      <c r="F365" t="s">
        <v>12</v>
      </c>
      <c r="G365">
        <v>50</v>
      </c>
    </row>
    <row r="366" spans="1:7" x14ac:dyDescent="0.2">
      <c r="A366">
        <f t="shared" si="7"/>
        <v>31</v>
      </c>
      <c r="B366" t="s">
        <v>5</v>
      </c>
      <c r="C366">
        <f>IF(data!$B366&lt;&gt;data!$B365,1,C365+1)</f>
        <v>5</v>
      </c>
      <c r="D366">
        <v>16.301029995663981</v>
      </c>
      <c r="E366" t="s">
        <v>13</v>
      </c>
      <c r="F366" t="s">
        <v>12</v>
      </c>
      <c r="G366">
        <v>50</v>
      </c>
    </row>
    <row r="367" spans="1:7" x14ac:dyDescent="0.2">
      <c r="A367">
        <f t="shared" si="7"/>
        <v>31</v>
      </c>
      <c r="B367" t="s">
        <v>5</v>
      </c>
      <c r="C367">
        <f>IF(data!$B367&lt;&gt;data!$B366,1,C366+1)</f>
        <v>6</v>
      </c>
      <c r="D367">
        <v>15.721848749616356</v>
      </c>
      <c r="E367" t="s">
        <v>13</v>
      </c>
      <c r="F367" t="s">
        <v>12</v>
      </c>
      <c r="G367">
        <v>50</v>
      </c>
    </row>
    <row r="368" spans="1:7" x14ac:dyDescent="0.2">
      <c r="A368">
        <f t="shared" si="7"/>
        <v>31</v>
      </c>
      <c r="B368" t="s">
        <v>5</v>
      </c>
      <c r="C368">
        <f>IF(data!$B368&lt;&gt;data!$B367,1,C367+1)</f>
        <v>7</v>
      </c>
      <c r="D368">
        <v>15.154901959985743</v>
      </c>
      <c r="E368" t="s">
        <v>13</v>
      </c>
      <c r="F368" t="s">
        <v>12</v>
      </c>
      <c r="G368">
        <v>50</v>
      </c>
    </row>
    <row r="369" spans="1:7" x14ac:dyDescent="0.2">
      <c r="A369">
        <f t="shared" si="7"/>
        <v>31</v>
      </c>
      <c r="B369" t="s">
        <v>5</v>
      </c>
      <c r="C369">
        <f>IF(data!$B369&lt;&gt;data!$B368,1,C368+1)</f>
        <v>8</v>
      </c>
      <c r="D369">
        <v>14.596910013008056</v>
      </c>
      <c r="E369" t="s">
        <v>13</v>
      </c>
      <c r="F369" t="s">
        <v>12</v>
      </c>
      <c r="G369">
        <v>50</v>
      </c>
    </row>
    <row r="370" spans="1:7" x14ac:dyDescent="0.2">
      <c r="A370">
        <f t="shared" si="7"/>
        <v>31</v>
      </c>
      <c r="B370" t="s">
        <v>5</v>
      </c>
      <c r="C370">
        <f>IF(data!$B370&lt;&gt;data!$B369,1,C369+1)</f>
        <v>9</v>
      </c>
      <c r="D370">
        <v>14.045757490560675</v>
      </c>
      <c r="E370" t="s">
        <v>13</v>
      </c>
      <c r="F370" t="s">
        <v>12</v>
      </c>
      <c r="G370">
        <v>50</v>
      </c>
    </row>
    <row r="371" spans="1:7" x14ac:dyDescent="0.2">
      <c r="A371">
        <f t="shared" si="7"/>
        <v>31</v>
      </c>
      <c r="B371" t="s">
        <v>5</v>
      </c>
      <c r="C371">
        <f>IF(data!$B371&lt;&gt;data!$B370,1,C370+1)</f>
        <v>10</v>
      </c>
      <c r="D371">
        <v>13.5</v>
      </c>
      <c r="E371" t="s">
        <v>13</v>
      </c>
      <c r="F371" t="s">
        <v>12</v>
      </c>
      <c r="G371">
        <v>50</v>
      </c>
    </row>
    <row r="372" spans="1:7" x14ac:dyDescent="0.2">
      <c r="A372">
        <f t="shared" si="7"/>
        <v>31</v>
      </c>
      <c r="B372" t="s">
        <v>5</v>
      </c>
      <c r="C372">
        <f>IF(data!$B372&lt;&gt;data!$B371,1,C371+1)</f>
        <v>11</v>
      </c>
      <c r="D372">
        <v>12.958607314841775</v>
      </c>
      <c r="E372" t="s">
        <v>13</v>
      </c>
      <c r="F372" t="s">
        <v>12</v>
      </c>
      <c r="G372">
        <v>50</v>
      </c>
    </row>
    <row r="373" spans="1:7" x14ac:dyDescent="0.2">
      <c r="A373">
        <f t="shared" si="7"/>
        <v>31</v>
      </c>
      <c r="B373" t="s">
        <v>5</v>
      </c>
      <c r="C373">
        <f>IF(data!$B373&lt;&gt;data!$B372,1,C372+1)</f>
        <v>12</v>
      </c>
      <c r="D373">
        <v>12.420818753952375</v>
      </c>
      <c r="E373" t="s">
        <v>13</v>
      </c>
      <c r="F373" t="s">
        <v>12</v>
      </c>
      <c r="G373">
        <v>50</v>
      </c>
    </row>
    <row r="374" spans="1:7" x14ac:dyDescent="0.2">
      <c r="A374">
        <f t="shared" si="7"/>
        <v>32</v>
      </c>
      <c r="B374" t="s">
        <v>6</v>
      </c>
      <c r="C374">
        <f>IF(data!$B374&lt;&gt;data!$B373,1,C373+1)</f>
        <v>1</v>
      </c>
      <c r="D374">
        <v>21</v>
      </c>
      <c r="E374" t="s">
        <v>13</v>
      </c>
      <c r="F374" t="s">
        <v>12</v>
      </c>
      <c r="G374">
        <v>50</v>
      </c>
    </row>
    <row r="375" spans="1:7" x14ac:dyDescent="0.2">
      <c r="A375">
        <f t="shared" si="7"/>
        <v>32</v>
      </c>
      <c r="B375" t="s">
        <v>6</v>
      </c>
      <c r="C375">
        <f>IF(data!$B375&lt;&gt;data!$B374,1,C374+1)</f>
        <v>2</v>
      </c>
      <c r="D375">
        <v>19.498970004336019</v>
      </c>
      <c r="E375" t="s">
        <v>13</v>
      </c>
      <c r="F375" t="s">
        <v>12</v>
      </c>
      <c r="G375">
        <v>50</v>
      </c>
    </row>
    <row r="376" spans="1:7" x14ac:dyDescent="0.2">
      <c r="A376">
        <f t="shared" si="7"/>
        <v>32</v>
      </c>
      <c r="B376" t="s">
        <v>6</v>
      </c>
      <c r="C376">
        <f>IF(data!$B376&lt;&gt;data!$B375,1,C375+1)</f>
        <v>3</v>
      </c>
      <c r="D376">
        <v>18.122878745280339</v>
      </c>
      <c r="E376" t="s">
        <v>13</v>
      </c>
      <c r="F376" t="s">
        <v>12</v>
      </c>
      <c r="G376">
        <v>50</v>
      </c>
    </row>
    <row r="377" spans="1:7" x14ac:dyDescent="0.2">
      <c r="A377">
        <f t="shared" si="7"/>
        <v>32</v>
      </c>
      <c r="B377" t="s">
        <v>6</v>
      </c>
      <c r="C377">
        <f>IF(data!$B377&lt;&gt;data!$B376,1,C376+1)</f>
        <v>4</v>
      </c>
      <c r="D377">
        <v>16.79794000867204</v>
      </c>
      <c r="E377" t="s">
        <v>13</v>
      </c>
      <c r="F377" t="s">
        <v>12</v>
      </c>
      <c r="G377">
        <v>50</v>
      </c>
    </row>
    <row r="378" spans="1:7" x14ac:dyDescent="0.2">
      <c r="A378">
        <f t="shared" si="7"/>
        <v>32</v>
      </c>
      <c r="B378" t="s">
        <v>6</v>
      </c>
      <c r="C378">
        <f>IF(data!$B378&lt;&gt;data!$B377,1,C377+1)</f>
        <v>5</v>
      </c>
      <c r="D378">
        <v>15.501029995663984</v>
      </c>
      <c r="E378" t="s">
        <v>13</v>
      </c>
      <c r="F378" t="s">
        <v>12</v>
      </c>
      <c r="G378">
        <v>50</v>
      </c>
    </row>
    <row r="379" spans="1:7" x14ac:dyDescent="0.2">
      <c r="A379">
        <f t="shared" si="7"/>
        <v>32</v>
      </c>
      <c r="B379" t="s">
        <v>6</v>
      </c>
      <c r="C379">
        <f>IF(data!$B379&lt;&gt;data!$B378,1,C378+1)</f>
        <v>6</v>
      </c>
      <c r="D379">
        <v>14.22184874961636</v>
      </c>
      <c r="E379" t="s">
        <v>13</v>
      </c>
      <c r="F379" t="s">
        <v>12</v>
      </c>
      <c r="G379">
        <v>50</v>
      </c>
    </row>
    <row r="380" spans="1:7" x14ac:dyDescent="0.2">
      <c r="A380">
        <f t="shared" si="7"/>
        <v>32</v>
      </c>
      <c r="B380" t="s">
        <v>6</v>
      </c>
      <c r="C380">
        <f>IF(data!$B380&lt;&gt;data!$B379,1,C379+1)</f>
        <v>7</v>
      </c>
      <c r="D380">
        <v>12.954901959985747</v>
      </c>
      <c r="E380" t="s">
        <v>13</v>
      </c>
      <c r="F380" t="s">
        <v>12</v>
      </c>
      <c r="G380">
        <v>50</v>
      </c>
    </row>
    <row r="381" spans="1:7" x14ac:dyDescent="0.2">
      <c r="A381">
        <f t="shared" si="7"/>
        <v>32</v>
      </c>
      <c r="B381" t="s">
        <v>6</v>
      </c>
      <c r="C381">
        <f>IF(data!$B381&lt;&gt;data!$B380,1,C380+1)</f>
        <v>8</v>
      </c>
      <c r="D381">
        <v>11.696910013008061</v>
      </c>
      <c r="E381" t="s">
        <v>13</v>
      </c>
      <c r="F381" t="s">
        <v>12</v>
      </c>
      <c r="G381">
        <v>50</v>
      </c>
    </row>
    <row r="382" spans="1:7" x14ac:dyDescent="0.2">
      <c r="A382">
        <f t="shared" si="7"/>
        <v>32</v>
      </c>
      <c r="B382" t="s">
        <v>6</v>
      </c>
      <c r="C382">
        <f>IF(data!$B382&lt;&gt;data!$B381,1,C381+1)</f>
        <v>9</v>
      </c>
      <c r="D382">
        <v>10.44575749056068</v>
      </c>
      <c r="E382" t="s">
        <v>13</v>
      </c>
      <c r="F382" t="s">
        <v>12</v>
      </c>
      <c r="G382">
        <v>50</v>
      </c>
    </row>
    <row r="383" spans="1:7" x14ac:dyDescent="0.2">
      <c r="A383">
        <f t="shared" si="7"/>
        <v>32</v>
      </c>
      <c r="B383" t="s">
        <v>6</v>
      </c>
      <c r="C383">
        <f>IF(data!$B383&lt;&gt;data!$B382,1,C382+1)</f>
        <v>10</v>
      </c>
      <c r="D383">
        <v>9.2000000000000064</v>
      </c>
      <c r="E383" t="s">
        <v>13</v>
      </c>
      <c r="F383" t="s">
        <v>12</v>
      </c>
      <c r="G383">
        <v>50</v>
      </c>
    </row>
    <row r="384" spans="1:7" x14ac:dyDescent="0.2">
      <c r="A384">
        <f t="shared" si="7"/>
        <v>32</v>
      </c>
      <c r="B384" t="s">
        <v>6</v>
      </c>
      <c r="C384">
        <f>IF(data!$B384&lt;&gt;data!$B383,1,C383+1)</f>
        <v>11</v>
      </c>
      <c r="D384">
        <v>7.9586073148417817</v>
      </c>
      <c r="E384" t="s">
        <v>13</v>
      </c>
      <c r="F384" t="s">
        <v>12</v>
      </c>
      <c r="G384">
        <v>50</v>
      </c>
    </row>
    <row r="385" spans="1:7" x14ac:dyDescent="0.2">
      <c r="A385">
        <f t="shared" si="7"/>
        <v>32</v>
      </c>
      <c r="B385" t="s">
        <v>6</v>
      </c>
      <c r="C385">
        <f>IF(data!$B385&lt;&gt;data!$B384,1,C384+1)</f>
        <v>12</v>
      </c>
      <c r="D385">
        <v>6.7208187539523818</v>
      </c>
      <c r="E385" t="s">
        <v>13</v>
      </c>
      <c r="F385" t="s">
        <v>12</v>
      </c>
      <c r="G385">
        <v>50</v>
      </c>
    </row>
    <row r="386" spans="1:7" x14ac:dyDescent="0.2">
      <c r="A386">
        <f t="shared" si="7"/>
        <v>33</v>
      </c>
      <c r="B386" t="s">
        <v>5</v>
      </c>
      <c r="C386">
        <f>IF(data!$B386&lt;&gt;data!$B385,1,C385+1)</f>
        <v>1</v>
      </c>
      <c r="D386">
        <v>16</v>
      </c>
      <c r="E386" t="s">
        <v>7</v>
      </c>
      <c r="F386" t="s">
        <v>14</v>
      </c>
      <c r="G386">
        <v>50</v>
      </c>
    </row>
    <row r="387" spans="1:7" x14ac:dyDescent="0.2">
      <c r="A387">
        <f t="shared" si="7"/>
        <v>33</v>
      </c>
      <c r="B387" t="s">
        <v>5</v>
      </c>
      <c r="C387">
        <f>IF(data!$B387&lt;&gt;data!$B386,1,C386+1)</f>
        <v>2</v>
      </c>
      <c r="D387">
        <v>15</v>
      </c>
      <c r="E387" t="s">
        <v>7</v>
      </c>
      <c r="F387" t="s">
        <v>14</v>
      </c>
      <c r="G387">
        <v>50</v>
      </c>
    </row>
    <row r="388" spans="1:7" x14ac:dyDescent="0.2">
      <c r="A388">
        <f t="shared" si="7"/>
        <v>33</v>
      </c>
      <c r="B388" t="s">
        <v>5</v>
      </c>
      <c r="C388">
        <f>IF(data!$B388&lt;&gt;data!$B387,1,C387+1)</f>
        <v>3</v>
      </c>
      <c r="D388">
        <v>14</v>
      </c>
      <c r="E388" t="s">
        <v>7</v>
      </c>
      <c r="F388" t="s">
        <v>14</v>
      </c>
      <c r="G388">
        <v>50</v>
      </c>
    </row>
    <row r="389" spans="1:7" x14ac:dyDescent="0.2">
      <c r="A389">
        <f t="shared" si="7"/>
        <v>33</v>
      </c>
      <c r="B389" t="s">
        <v>5</v>
      </c>
      <c r="C389">
        <f>IF(data!$B389&lt;&gt;data!$B388,1,C388+1)</f>
        <v>4</v>
      </c>
      <c r="D389">
        <v>13</v>
      </c>
      <c r="E389" t="s">
        <v>7</v>
      </c>
      <c r="F389" t="s">
        <v>14</v>
      </c>
      <c r="G389">
        <v>50</v>
      </c>
    </row>
    <row r="390" spans="1:7" x14ac:dyDescent="0.2">
      <c r="A390">
        <f t="shared" si="7"/>
        <v>33</v>
      </c>
      <c r="B390" t="s">
        <v>5</v>
      </c>
      <c r="C390">
        <f>IF(data!$B390&lt;&gt;data!$B389,1,C389+1)</f>
        <v>5</v>
      </c>
      <c r="D390">
        <v>12</v>
      </c>
      <c r="E390" t="s">
        <v>7</v>
      </c>
      <c r="F390" t="s">
        <v>14</v>
      </c>
      <c r="G390">
        <v>50</v>
      </c>
    </row>
    <row r="391" spans="1:7" x14ac:dyDescent="0.2">
      <c r="A391">
        <f t="shared" si="7"/>
        <v>33</v>
      </c>
      <c r="B391" t="s">
        <v>5</v>
      </c>
      <c r="C391">
        <f>IF(data!$B391&lt;&gt;data!$B390,1,C390+1)</f>
        <v>6</v>
      </c>
      <c r="D391">
        <v>11</v>
      </c>
      <c r="E391" t="s">
        <v>7</v>
      </c>
      <c r="F391" t="s">
        <v>14</v>
      </c>
      <c r="G391">
        <v>50</v>
      </c>
    </row>
    <row r="392" spans="1:7" x14ac:dyDescent="0.2">
      <c r="A392">
        <f t="shared" si="7"/>
        <v>33</v>
      </c>
      <c r="B392" t="s">
        <v>5</v>
      </c>
      <c r="C392">
        <f>IF(data!$B392&lt;&gt;data!$B391,1,C391+1)</f>
        <v>7</v>
      </c>
      <c r="D392">
        <v>10</v>
      </c>
      <c r="E392" t="s">
        <v>7</v>
      </c>
      <c r="F392" t="s">
        <v>14</v>
      </c>
      <c r="G392">
        <v>50</v>
      </c>
    </row>
    <row r="393" spans="1:7" x14ac:dyDescent="0.2">
      <c r="A393">
        <f t="shared" si="7"/>
        <v>33</v>
      </c>
      <c r="B393" t="s">
        <v>5</v>
      </c>
      <c r="C393">
        <f>IF(data!$B393&lt;&gt;data!$B392,1,C392+1)</f>
        <v>8</v>
      </c>
      <c r="D393">
        <v>9</v>
      </c>
      <c r="E393" t="s">
        <v>7</v>
      </c>
      <c r="F393" t="s">
        <v>14</v>
      </c>
      <c r="G393">
        <v>50</v>
      </c>
    </row>
    <row r="394" spans="1:7" x14ac:dyDescent="0.2">
      <c r="A394">
        <f t="shared" si="7"/>
        <v>33</v>
      </c>
      <c r="B394" t="s">
        <v>5</v>
      </c>
      <c r="C394">
        <f>IF(data!$B394&lt;&gt;data!$B393,1,C393+1)</f>
        <v>9</v>
      </c>
      <c r="D394">
        <v>8</v>
      </c>
      <c r="E394" t="s">
        <v>7</v>
      </c>
      <c r="F394" t="s">
        <v>14</v>
      </c>
      <c r="G394">
        <v>50</v>
      </c>
    </row>
    <row r="395" spans="1:7" x14ac:dyDescent="0.2">
      <c r="A395">
        <f t="shared" si="7"/>
        <v>33</v>
      </c>
      <c r="B395" t="s">
        <v>5</v>
      </c>
      <c r="C395">
        <f>IF(data!$B395&lt;&gt;data!$B394,1,C394+1)</f>
        <v>10</v>
      </c>
      <c r="D395">
        <v>7</v>
      </c>
      <c r="E395" t="s">
        <v>7</v>
      </c>
      <c r="F395" t="s">
        <v>14</v>
      </c>
      <c r="G395">
        <v>50</v>
      </c>
    </row>
    <row r="396" spans="1:7" x14ac:dyDescent="0.2">
      <c r="A396">
        <f t="shared" si="7"/>
        <v>33</v>
      </c>
      <c r="B396" t="s">
        <v>5</v>
      </c>
      <c r="C396">
        <f>IF(data!$B396&lt;&gt;data!$B395,1,C395+1)</f>
        <v>11</v>
      </c>
      <c r="D396">
        <v>6</v>
      </c>
      <c r="E396" t="s">
        <v>7</v>
      </c>
      <c r="F396" t="s">
        <v>14</v>
      </c>
      <c r="G396">
        <v>50</v>
      </c>
    </row>
    <row r="397" spans="1:7" x14ac:dyDescent="0.2">
      <c r="A397">
        <f t="shared" si="7"/>
        <v>33</v>
      </c>
      <c r="B397" t="s">
        <v>5</v>
      </c>
      <c r="C397">
        <f>IF(data!$B397&lt;&gt;data!$B396,1,C396+1)</f>
        <v>12</v>
      </c>
      <c r="D397">
        <v>5</v>
      </c>
      <c r="E397" t="s">
        <v>7</v>
      </c>
      <c r="F397" t="s">
        <v>14</v>
      </c>
      <c r="G397">
        <v>50</v>
      </c>
    </row>
    <row r="398" spans="1:7" x14ac:dyDescent="0.2">
      <c r="A398">
        <f t="shared" si="7"/>
        <v>34</v>
      </c>
      <c r="B398" t="s">
        <v>6</v>
      </c>
      <c r="C398">
        <f>IF(data!$B398&lt;&gt;data!$B397,1,C397+1)</f>
        <v>1</v>
      </c>
      <c r="D398">
        <v>18</v>
      </c>
      <c r="E398" t="s">
        <v>7</v>
      </c>
      <c r="F398" t="s">
        <v>14</v>
      </c>
      <c r="G398">
        <v>50</v>
      </c>
    </row>
    <row r="399" spans="1:7" x14ac:dyDescent="0.2">
      <c r="A399">
        <f t="shared" si="7"/>
        <v>34</v>
      </c>
      <c r="B399" t="s">
        <v>6</v>
      </c>
      <c r="C399">
        <f>IF(data!$B399&lt;&gt;data!$B398,1,C398+1)</f>
        <v>2</v>
      </c>
      <c r="D399">
        <v>16.5</v>
      </c>
      <c r="E399" t="s">
        <v>7</v>
      </c>
      <c r="F399" t="s">
        <v>14</v>
      </c>
      <c r="G399">
        <v>50</v>
      </c>
    </row>
    <row r="400" spans="1:7" x14ac:dyDescent="0.2">
      <c r="A400">
        <f t="shared" si="7"/>
        <v>34</v>
      </c>
      <c r="B400" t="s">
        <v>6</v>
      </c>
      <c r="C400">
        <f>IF(data!$B400&lt;&gt;data!$B399,1,C399+1)</f>
        <v>3</v>
      </c>
      <c r="D400">
        <v>15</v>
      </c>
      <c r="E400" t="s">
        <v>7</v>
      </c>
      <c r="F400" t="s">
        <v>14</v>
      </c>
      <c r="G400">
        <v>50</v>
      </c>
    </row>
    <row r="401" spans="1:7" x14ac:dyDescent="0.2">
      <c r="A401">
        <f t="shared" si="7"/>
        <v>34</v>
      </c>
      <c r="B401" t="s">
        <v>6</v>
      </c>
      <c r="C401">
        <f>IF(data!$B401&lt;&gt;data!$B400,1,C400+1)</f>
        <v>4</v>
      </c>
      <c r="D401">
        <v>13.5</v>
      </c>
      <c r="E401" t="s">
        <v>7</v>
      </c>
      <c r="F401" t="s">
        <v>14</v>
      </c>
      <c r="G401">
        <v>50</v>
      </c>
    </row>
    <row r="402" spans="1:7" x14ac:dyDescent="0.2">
      <c r="A402">
        <f t="shared" si="7"/>
        <v>34</v>
      </c>
      <c r="B402" t="s">
        <v>6</v>
      </c>
      <c r="C402">
        <f>IF(data!$B402&lt;&gt;data!$B401,1,C401+1)</f>
        <v>5</v>
      </c>
      <c r="D402">
        <v>12</v>
      </c>
      <c r="E402" t="s">
        <v>7</v>
      </c>
      <c r="F402" t="s">
        <v>14</v>
      </c>
      <c r="G402">
        <v>50</v>
      </c>
    </row>
    <row r="403" spans="1:7" x14ac:dyDescent="0.2">
      <c r="A403">
        <f t="shared" si="7"/>
        <v>34</v>
      </c>
      <c r="B403" t="s">
        <v>6</v>
      </c>
      <c r="C403">
        <f>IF(data!$B403&lt;&gt;data!$B402,1,C402+1)</f>
        <v>6</v>
      </c>
      <c r="D403">
        <v>10.5</v>
      </c>
      <c r="E403" t="s">
        <v>7</v>
      </c>
      <c r="F403" t="s">
        <v>14</v>
      </c>
      <c r="G403">
        <v>50</v>
      </c>
    </row>
    <row r="404" spans="1:7" x14ac:dyDescent="0.2">
      <c r="A404">
        <f t="shared" si="7"/>
        <v>34</v>
      </c>
      <c r="B404" t="s">
        <v>6</v>
      </c>
      <c r="C404">
        <f>IF(data!$B404&lt;&gt;data!$B403,1,C403+1)</f>
        <v>7</v>
      </c>
      <c r="D404">
        <v>9</v>
      </c>
      <c r="E404" t="s">
        <v>7</v>
      </c>
      <c r="F404" t="s">
        <v>14</v>
      </c>
      <c r="G404">
        <v>50</v>
      </c>
    </row>
    <row r="405" spans="1:7" x14ac:dyDescent="0.2">
      <c r="A405">
        <f t="shared" si="7"/>
        <v>34</v>
      </c>
      <c r="B405" t="s">
        <v>6</v>
      </c>
      <c r="C405">
        <f>IF(data!$B405&lt;&gt;data!$B404,1,C404+1)</f>
        <v>8</v>
      </c>
      <c r="D405">
        <v>7.5</v>
      </c>
      <c r="E405" t="s">
        <v>7</v>
      </c>
      <c r="F405" t="s">
        <v>14</v>
      </c>
      <c r="G405">
        <v>50</v>
      </c>
    </row>
    <row r="406" spans="1:7" x14ac:dyDescent="0.2">
      <c r="A406">
        <f t="shared" si="7"/>
        <v>34</v>
      </c>
      <c r="B406" t="s">
        <v>6</v>
      </c>
      <c r="C406">
        <f>IF(data!$B406&lt;&gt;data!$B405,1,C405+1)</f>
        <v>9</v>
      </c>
      <c r="D406">
        <v>6</v>
      </c>
      <c r="E406" t="s">
        <v>7</v>
      </c>
      <c r="F406" t="s">
        <v>14</v>
      </c>
      <c r="G406">
        <v>50</v>
      </c>
    </row>
    <row r="407" spans="1:7" x14ac:dyDescent="0.2">
      <c r="A407">
        <f t="shared" si="7"/>
        <v>34</v>
      </c>
      <c r="B407" t="s">
        <v>6</v>
      </c>
      <c r="C407">
        <f>IF(data!$B407&lt;&gt;data!$B406,1,C406+1)</f>
        <v>10</v>
      </c>
      <c r="D407">
        <v>4.5</v>
      </c>
      <c r="E407" t="s">
        <v>7</v>
      </c>
      <c r="F407" t="s">
        <v>14</v>
      </c>
      <c r="G407">
        <v>50</v>
      </c>
    </row>
    <row r="408" spans="1:7" x14ac:dyDescent="0.2">
      <c r="A408">
        <f t="shared" si="7"/>
        <v>34</v>
      </c>
      <c r="B408" t="s">
        <v>6</v>
      </c>
      <c r="C408">
        <f>IF(data!$B408&lt;&gt;data!$B407,1,C407+1)</f>
        <v>11</v>
      </c>
      <c r="D408">
        <v>3</v>
      </c>
      <c r="E408" t="s">
        <v>7</v>
      </c>
      <c r="F408" t="s">
        <v>14</v>
      </c>
      <c r="G408">
        <v>50</v>
      </c>
    </row>
    <row r="409" spans="1:7" x14ac:dyDescent="0.2">
      <c r="A409">
        <f t="shared" si="7"/>
        <v>34</v>
      </c>
      <c r="B409" t="s">
        <v>6</v>
      </c>
      <c r="C409">
        <f>IF(data!$B409&lt;&gt;data!$B408,1,C408+1)</f>
        <v>12</v>
      </c>
      <c r="D409">
        <v>1.5</v>
      </c>
      <c r="E409" t="s">
        <v>7</v>
      </c>
      <c r="F409" t="s">
        <v>14</v>
      </c>
      <c r="G409">
        <v>50</v>
      </c>
    </row>
    <row r="410" spans="1:7" x14ac:dyDescent="0.2">
      <c r="A410">
        <f t="shared" si="7"/>
        <v>35</v>
      </c>
      <c r="B410" t="s">
        <v>5</v>
      </c>
      <c r="C410">
        <f>IF(data!$B410&lt;&gt;data!$B409,1,C409+1)</f>
        <v>1</v>
      </c>
      <c r="D410">
        <v>17</v>
      </c>
      <c r="E410" t="s">
        <v>13</v>
      </c>
      <c r="F410" t="s">
        <v>14</v>
      </c>
      <c r="G410">
        <v>50</v>
      </c>
    </row>
    <row r="411" spans="1:7" x14ac:dyDescent="0.2">
      <c r="A411">
        <f t="shared" si="7"/>
        <v>35</v>
      </c>
      <c r="B411" t="s">
        <v>5</v>
      </c>
      <c r="C411">
        <f>IF(data!$B411&lt;&gt;data!$B410,1,C410+1)</f>
        <v>2</v>
      </c>
      <c r="D411">
        <v>16.5</v>
      </c>
      <c r="E411" t="s">
        <v>13</v>
      </c>
      <c r="F411" t="s">
        <v>14</v>
      </c>
      <c r="G411">
        <v>50</v>
      </c>
    </row>
    <row r="412" spans="1:7" x14ac:dyDescent="0.2">
      <c r="A412">
        <f t="shared" si="7"/>
        <v>35</v>
      </c>
      <c r="B412" t="s">
        <v>5</v>
      </c>
      <c r="C412">
        <f>IF(data!$B412&lt;&gt;data!$B411,1,C411+1)</f>
        <v>3</v>
      </c>
      <c r="D412">
        <v>16</v>
      </c>
      <c r="E412" t="s">
        <v>13</v>
      </c>
      <c r="F412" t="s">
        <v>14</v>
      </c>
      <c r="G412">
        <v>50</v>
      </c>
    </row>
    <row r="413" spans="1:7" x14ac:dyDescent="0.2">
      <c r="A413">
        <f t="shared" si="7"/>
        <v>35</v>
      </c>
      <c r="B413" t="s">
        <v>5</v>
      </c>
      <c r="C413">
        <f>IF(data!$B413&lt;&gt;data!$B412,1,C412+1)</f>
        <v>4</v>
      </c>
      <c r="D413">
        <v>15.5</v>
      </c>
      <c r="E413" t="s">
        <v>13</v>
      </c>
      <c r="F413" t="s">
        <v>14</v>
      </c>
      <c r="G413">
        <v>50</v>
      </c>
    </row>
    <row r="414" spans="1:7" x14ac:dyDescent="0.2">
      <c r="A414">
        <f t="shared" si="7"/>
        <v>35</v>
      </c>
      <c r="B414" t="s">
        <v>5</v>
      </c>
      <c r="C414">
        <f>IF(data!$B414&lt;&gt;data!$B413,1,C413+1)</f>
        <v>5</v>
      </c>
      <c r="D414">
        <v>15</v>
      </c>
      <c r="E414" t="s">
        <v>13</v>
      </c>
      <c r="F414" t="s">
        <v>14</v>
      </c>
      <c r="G414">
        <v>50</v>
      </c>
    </row>
    <row r="415" spans="1:7" x14ac:dyDescent="0.2">
      <c r="A415">
        <f t="shared" si="7"/>
        <v>35</v>
      </c>
      <c r="B415" t="s">
        <v>5</v>
      </c>
      <c r="C415">
        <f>IF(data!$B415&lt;&gt;data!$B414,1,C414+1)</f>
        <v>6</v>
      </c>
      <c r="D415">
        <v>14.5</v>
      </c>
      <c r="E415" t="s">
        <v>13</v>
      </c>
      <c r="F415" t="s">
        <v>14</v>
      </c>
      <c r="G415">
        <v>50</v>
      </c>
    </row>
    <row r="416" spans="1:7" x14ac:dyDescent="0.2">
      <c r="A416">
        <f t="shared" si="7"/>
        <v>35</v>
      </c>
      <c r="B416" t="s">
        <v>5</v>
      </c>
      <c r="C416">
        <f>IF(data!$B416&lt;&gt;data!$B415,1,C415+1)</f>
        <v>7</v>
      </c>
      <c r="D416">
        <v>14</v>
      </c>
      <c r="E416" t="s">
        <v>13</v>
      </c>
      <c r="F416" t="s">
        <v>14</v>
      </c>
      <c r="G416">
        <v>50</v>
      </c>
    </row>
    <row r="417" spans="1:7" x14ac:dyDescent="0.2">
      <c r="A417">
        <f t="shared" si="7"/>
        <v>35</v>
      </c>
      <c r="B417" t="s">
        <v>5</v>
      </c>
      <c r="C417">
        <f>IF(data!$B417&lt;&gt;data!$B416,1,C416+1)</f>
        <v>8</v>
      </c>
      <c r="D417">
        <v>13.5</v>
      </c>
      <c r="E417" t="s">
        <v>13</v>
      </c>
      <c r="F417" t="s">
        <v>14</v>
      </c>
      <c r="G417">
        <v>50</v>
      </c>
    </row>
    <row r="418" spans="1:7" x14ac:dyDescent="0.2">
      <c r="A418">
        <f t="shared" ref="A418:A481" si="8">IF(B418=B417,A417,A417+1)</f>
        <v>35</v>
      </c>
      <c r="B418" t="s">
        <v>5</v>
      </c>
      <c r="C418">
        <f>IF(data!$B418&lt;&gt;data!$B417,1,C417+1)</f>
        <v>9</v>
      </c>
      <c r="D418">
        <v>13</v>
      </c>
      <c r="E418" t="s">
        <v>13</v>
      </c>
      <c r="F418" t="s">
        <v>14</v>
      </c>
      <c r="G418">
        <v>50</v>
      </c>
    </row>
    <row r="419" spans="1:7" x14ac:dyDescent="0.2">
      <c r="A419">
        <f t="shared" si="8"/>
        <v>35</v>
      </c>
      <c r="B419" t="s">
        <v>5</v>
      </c>
      <c r="C419">
        <f>IF(data!$B419&lt;&gt;data!$B418,1,C418+1)</f>
        <v>10</v>
      </c>
      <c r="D419">
        <v>12.5</v>
      </c>
      <c r="E419" t="s">
        <v>13</v>
      </c>
      <c r="F419" t="s">
        <v>14</v>
      </c>
      <c r="G419">
        <v>50</v>
      </c>
    </row>
    <row r="420" spans="1:7" x14ac:dyDescent="0.2">
      <c r="A420">
        <f t="shared" si="8"/>
        <v>35</v>
      </c>
      <c r="B420" t="s">
        <v>5</v>
      </c>
      <c r="C420">
        <f>IF(data!$B420&lt;&gt;data!$B419,1,C419+1)</f>
        <v>11</v>
      </c>
      <c r="D420">
        <v>12</v>
      </c>
      <c r="E420" t="s">
        <v>13</v>
      </c>
      <c r="F420" t="s">
        <v>14</v>
      </c>
      <c r="G420">
        <v>50</v>
      </c>
    </row>
    <row r="421" spans="1:7" x14ac:dyDescent="0.2">
      <c r="A421">
        <f t="shared" si="8"/>
        <v>35</v>
      </c>
      <c r="B421" t="s">
        <v>5</v>
      </c>
      <c r="C421">
        <f>IF(data!$B421&lt;&gt;data!$B420,1,C420+1)</f>
        <v>12</v>
      </c>
      <c r="D421">
        <v>11.5</v>
      </c>
      <c r="E421" t="s">
        <v>13</v>
      </c>
      <c r="F421" t="s">
        <v>14</v>
      </c>
      <c r="G421">
        <v>50</v>
      </c>
    </row>
    <row r="422" spans="1:7" x14ac:dyDescent="0.2">
      <c r="A422">
        <f t="shared" si="8"/>
        <v>36</v>
      </c>
      <c r="B422" t="s">
        <v>6</v>
      </c>
      <c r="C422">
        <f>IF(data!$B422&lt;&gt;data!$B421,1,C421+1)</f>
        <v>1</v>
      </c>
      <c r="D422">
        <v>19</v>
      </c>
      <c r="E422" t="s">
        <v>13</v>
      </c>
      <c r="F422" t="s">
        <v>14</v>
      </c>
      <c r="G422">
        <v>50</v>
      </c>
    </row>
    <row r="423" spans="1:7" x14ac:dyDescent="0.2">
      <c r="A423">
        <f t="shared" si="8"/>
        <v>36</v>
      </c>
      <c r="B423" t="s">
        <v>6</v>
      </c>
      <c r="C423">
        <f>IF(data!$B423&lt;&gt;data!$B422,1,C422+1)</f>
        <v>2</v>
      </c>
      <c r="D423">
        <v>17.8</v>
      </c>
      <c r="E423" t="s">
        <v>13</v>
      </c>
      <c r="F423" t="s">
        <v>14</v>
      </c>
      <c r="G423">
        <v>50</v>
      </c>
    </row>
    <row r="424" spans="1:7" x14ac:dyDescent="0.2">
      <c r="A424">
        <f t="shared" si="8"/>
        <v>36</v>
      </c>
      <c r="B424" t="s">
        <v>6</v>
      </c>
      <c r="C424">
        <f>IF(data!$B424&lt;&gt;data!$B423,1,C423+1)</f>
        <v>3</v>
      </c>
      <c r="D424">
        <v>16.600000000000001</v>
      </c>
      <c r="E424" t="s">
        <v>13</v>
      </c>
      <c r="F424" t="s">
        <v>14</v>
      </c>
      <c r="G424">
        <v>50</v>
      </c>
    </row>
    <row r="425" spans="1:7" x14ac:dyDescent="0.2">
      <c r="A425">
        <f t="shared" si="8"/>
        <v>36</v>
      </c>
      <c r="B425" t="s">
        <v>6</v>
      </c>
      <c r="C425">
        <f>IF(data!$B425&lt;&gt;data!$B424,1,C424+1)</f>
        <v>4</v>
      </c>
      <c r="D425">
        <v>15.400000000000002</v>
      </c>
      <c r="E425" t="s">
        <v>13</v>
      </c>
      <c r="F425" t="s">
        <v>14</v>
      </c>
      <c r="G425">
        <v>50</v>
      </c>
    </row>
    <row r="426" spans="1:7" x14ac:dyDescent="0.2">
      <c r="A426">
        <f t="shared" si="8"/>
        <v>36</v>
      </c>
      <c r="B426" t="s">
        <v>6</v>
      </c>
      <c r="C426">
        <f>IF(data!$B426&lt;&gt;data!$B425,1,C425+1)</f>
        <v>5</v>
      </c>
      <c r="D426">
        <v>14.200000000000003</v>
      </c>
      <c r="E426" t="s">
        <v>13</v>
      </c>
      <c r="F426" t="s">
        <v>14</v>
      </c>
      <c r="G426">
        <v>50</v>
      </c>
    </row>
    <row r="427" spans="1:7" x14ac:dyDescent="0.2">
      <c r="A427">
        <f t="shared" si="8"/>
        <v>36</v>
      </c>
      <c r="B427" t="s">
        <v>6</v>
      </c>
      <c r="C427">
        <f>IF(data!$B427&lt;&gt;data!$B426,1,C426+1)</f>
        <v>6</v>
      </c>
      <c r="D427">
        <v>13.000000000000004</v>
      </c>
      <c r="E427" t="s">
        <v>13</v>
      </c>
      <c r="F427" t="s">
        <v>14</v>
      </c>
      <c r="G427">
        <v>50</v>
      </c>
    </row>
    <row r="428" spans="1:7" x14ac:dyDescent="0.2">
      <c r="A428">
        <f t="shared" si="8"/>
        <v>36</v>
      </c>
      <c r="B428" t="s">
        <v>6</v>
      </c>
      <c r="C428">
        <f>IF(data!$B428&lt;&gt;data!$B427,1,C427+1)</f>
        <v>7</v>
      </c>
      <c r="D428">
        <v>11.800000000000004</v>
      </c>
      <c r="E428" t="s">
        <v>13</v>
      </c>
      <c r="F428" t="s">
        <v>14</v>
      </c>
      <c r="G428">
        <v>50</v>
      </c>
    </row>
    <row r="429" spans="1:7" x14ac:dyDescent="0.2">
      <c r="A429">
        <f t="shared" si="8"/>
        <v>36</v>
      </c>
      <c r="B429" t="s">
        <v>6</v>
      </c>
      <c r="C429">
        <f>IF(data!$B429&lt;&gt;data!$B428,1,C428+1)</f>
        <v>8</v>
      </c>
      <c r="D429">
        <v>10.600000000000005</v>
      </c>
      <c r="E429" t="s">
        <v>13</v>
      </c>
      <c r="F429" t="s">
        <v>14</v>
      </c>
      <c r="G429">
        <v>50</v>
      </c>
    </row>
    <row r="430" spans="1:7" x14ac:dyDescent="0.2">
      <c r="A430">
        <f t="shared" si="8"/>
        <v>36</v>
      </c>
      <c r="B430" t="s">
        <v>6</v>
      </c>
      <c r="C430">
        <f>IF(data!$B430&lt;&gt;data!$B429,1,C429+1)</f>
        <v>9</v>
      </c>
      <c r="D430">
        <v>9.4000000000000057</v>
      </c>
      <c r="E430" t="s">
        <v>13</v>
      </c>
      <c r="F430" t="s">
        <v>14</v>
      </c>
      <c r="G430">
        <v>50</v>
      </c>
    </row>
    <row r="431" spans="1:7" x14ac:dyDescent="0.2">
      <c r="A431">
        <f t="shared" si="8"/>
        <v>36</v>
      </c>
      <c r="B431" t="s">
        <v>6</v>
      </c>
      <c r="C431">
        <f>IF(data!$B431&lt;&gt;data!$B430,1,C430+1)</f>
        <v>10</v>
      </c>
      <c r="D431">
        <v>8.2000000000000064</v>
      </c>
      <c r="E431" t="s">
        <v>13</v>
      </c>
      <c r="F431" t="s">
        <v>14</v>
      </c>
      <c r="G431">
        <v>50</v>
      </c>
    </row>
    <row r="432" spans="1:7" x14ac:dyDescent="0.2">
      <c r="A432">
        <f t="shared" si="8"/>
        <v>36</v>
      </c>
      <c r="B432" t="s">
        <v>6</v>
      </c>
      <c r="C432">
        <f>IF(data!$B432&lt;&gt;data!$B431,1,C431+1)</f>
        <v>11</v>
      </c>
      <c r="D432">
        <v>7.0000000000000062</v>
      </c>
      <c r="E432" t="s">
        <v>13</v>
      </c>
      <c r="F432" t="s">
        <v>14</v>
      </c>
      <c r="G432">
        <v>50</v>
      </c>
    </row>
    <row r="433" spans="1:7" x14ac:dyDescent="0.2">
      <c r="A433">
        <f t="shared" si="8"/>
        <v>36</v>
      </c>
      <c r="B433" t="s">
        <v>6</v>
      </c>
      <c r="C433">
        <f>IF(data!$B433&lt;&gt;data!$B432,1,C432+1)</f>
        <v>12</v>
      </c>
      <c r="D433">
        <v>5.800000000000006</v>
      </c>
      <c r="E433" t="s">
        <v>13</v>
      </c>
      <c r="F433" t="s">
        <v>14</v>
      </c>
      <c r="G433">
        <v>50</v>
      </c>
    </row>
    <row r="434" spans="1:7" x14ac:dyDescent="0.2">
      <c r="A434">
        <f t="shared" si="8"/>
        <v>37</v>
      </c>
      <c r="B434" t="s">
        <v>5</v>
      </c>
      <c r="C434">
        <f>IF(data!$B434&lt;&gt;data!$B433,1,C433+1)</f>
        <v>1</v>
      </c>
      <c r="D434">
        <v>16</v>
      </c>
      <c r="E434" t="s">
        <v>7</v>
      </c>
      <c r="F434" t="s">
        <v>12</v>
      </c>
      <c r="G434">
        <v>50</v>
      </c>
    </row>
    <row r="435" spans="1:7" x14ac:dyDescent="0.2">
      <c r="A435">
        <f t="shared" si="8"/>
        <v>37</v>
      </c>
      <c r="B435" t="s">
        <v>5</v>
      </c>
      <c r="C435">
        <f>IF(data!$B435&lt;&gt;data!$B434,1,C434+1)</f>
        <v>2</v>
      </c>
      <c r="D435">
        <v>14.698970004336019</v>
      </c>
      <c r="E435" t="s">
        <v>7</v>
      </c>
      <c r="F435" t="s">
        <v>12</v>
      </c>
      <c r="G435">
        <v>50</v>
      </c>
    </row>
    <row r="436" spans="1:7" x14ac:dyDescent="0.2">
      <c r="A436">
        <f t="shared" si="8"/>
        <v>37</v>
      </c>
      <c r="B436" t="s">
        <v>5</v>
      </c>
      <c r="C436">
        <f>IF(data!$B436&lt;&gt;data!$B435,1,C435+1)</f>
        <v>3</v>
      </c>
      <c r="D436">
        <v>13.522878745280337</v>
      </c>
      <c r="E436" t="s">
        <v>7</v>
      </c>
      <c r="F436" t="s">
        <v>12</v>
      </c>
      <c r="G436">
        <v>50</v>
      </c>
    </row>
    <row r="437" spans="1:7" x14ac:dyDescent="0.2">
      <c r="A437">
        <f t="shared" si="8"/>
        <v>37</v>
      </c>
      <c r="B437" t="s">
        <v>5</v>
      </c>
      <c r="C437">
        <f>IF(data!$B437&lt;&gt;data!$B436,1,C436+1)</f>
        <v>4</v>
      </c>
      <c r="D437">
        <v>12.397940008672037</v>
      </c>
      <c r="E437" t="s">
        <v>7</v>
      </c>
      <c r="F437" t="s">
        <v>12</v>
      </c>
      <c r="G437">
        <v>50</v>
      </c>
    </row>
    <row r="438" spans="1:7" x14ac:dyDescent="0.2">
      <c r="A438">
        <f t="shared" si="8"/>
        <v>37</v>
      </c>
      <c r="B438" t="s">
        <v>5</v>
      </c>
      <c r="C438">
        <f>IF(data!$B438&lt;&gt;data!$B437,1,C437+1)</f>
        <v>5</v>
      </c>
      <c r="D438">
        <v>11.301029995663981</v>
      </c>
      <c r="E438" t="s">
        <v>7</v>
      </c>
      <c r="F438" t="s">
        <v>12</v>
      </c>
      <c r="G438">
        <v>50</v>
      </c>
    </row>
    <row r="439" spans="1:7" x14ac:dyDescent="0.2">
      <c r="A439">
        <f t="shared" si="8"/>
        <v>37</v>
      </c>
      <c r="B439" t="s">
        <v>5</v>
      </c>
      <c r="C439">
        <f>IF(data!$B439&lt;&gt;data!$B438,1,C438+1)</f>
        <v>6</v>
      </c>
      <c r="D439">
        <v>10.221848749616356</v>
      </c>
      <c r="E439" t="s">
        <v>7</v>
      </c>
      <c r="F439" t="s">
        <v>12</v>
      </c>
      <c r="G439">
        <v>50</v>
      </c>
    </row>
    <row r="440" spans="1:7" x14ac:dyDescent="0.2">
      <c r="A440">
        <f t="shared" si="8"/>
        <v>37</v>
      </c>
      <c r="B440" t="s">
        <v>5</v>
      </c>
      <c r="C440">
        <f>IF(data!$B440&lt;&gt;data!$B439,1,C439+1)</f>
        <v>7</v>
      </c>
      <c r="D440">
        <v>9.1549019599857431</v>
      </c>
      <c r="E440" t="s">
        <v>7</v>
      </c>
      <c r="F440" t="s">
        <v>12</v>
      </c>
      <c r="G440">
        <v>50</v>
      </c>
    </row>
    <row r="441" spans="1:7" x14ac:dyDescent="0.2">
      <c r="A441">
        <f t="shared" si="8"/>
        <v>37</v>
      </c>
      <c r="B441" t="s">
        <v>5</v>
      </c>
      <c r="C441">
        <f>IF(data!$B441&lt;&gt;data!$B440,1,C440+1)</f>
        <v>8</v>
      </c>
      <c r="D441">
        <v>8.0969100130080562</v>
      </c>
      <c r="E441" t="s">
        <v>7</v>
      </c>
      <c r="F441" t="s">
        <v>12</v>
      </c>
      <c r="G441">
        <v>50</v>
      </c>
    </row>
    <row r="442" spans="1:7" x14ac:dyDescent="0.2">
      <c r="A442">
        <f t="shared" si="8"/>
        <v>37</v>
      </c>
      <c r="B442" t="s">
        <v>5</v>
      </c>
      <c r="C442">
        <f>IF(data!$B442&lt;&gt;data!$B441,1,C441+1)</f>
        <v>9</v>
      </c>
      <c r="D442">
        <v>7.0457574905606748</v>
      </c>
      <c r="E442" t="s">
        <v>7</v>
      </c>
      <c r="F442" t="s">
        <v>12</v>
      </c>
      <c r="G442">
        <v>50</v>
      </c>
    </row>
    <row r="443" spans="1:7" x14ac:dyDescent="0.2">
      <c r="A443">
        <f t="shared" si="8"/>
        <v>37</v>
      </c>
      <c r="B443" t="s">
        <v>5</v>
      </c>
      <c r="C443">
        <f>IF(data!$B443&lt;&gt;data!$B442,1,C442+1)</f>
        <v>10</v>
      </c>
      <c r="D443">
        <v>6</v>
      </c>
      <c r="E443" t="s">
        <v>7</v>
      </c>
      <c r="F443" t="s">
        <v>12</v>
      </c>
      <c r="G443">
        <v>50</v>
      </c>
    </row>
    <row r="444" spans="1:7" x14ac:dyDescent="0.2">
      <c r="A444">
        <f t="shared" si="8"/>
        <v>37</v>
      </c>
      <c r="B444" t="s">
        <v>5</v>
      </c>
      <c r="C444">
        <f>IF(data!$B444&lt;&gt;data!$B443,1,C443+1)</f>
        <v>11</v>
      </c>
      <c r="D444">
        <v>4.9586073148417746</v>
      </c>
      <c r="E444" t="s">
        <v>7</v>
      </c>
      <c r="F444" t="s">
        <v>12</v>
      </c>
      <c r="G444">
        <v>50</v>
      </c>
    </row>
    <row r="445" spans="1:7" x14ac:dyDescent="0.2">
      <c r="A445">
        <f t="shared" si="8"/>
        <v>37</v>
      </c>
      <c r="B445" t="s">
        <v>5</v>
      </c>
      <c r="C445">
        <f>IF(data!$B445&lt;&gt;data!$B444,1,C444+1)</f>
        <v>12</v>
      </c>
      <c r="D445">
        <v>3.9208187539523749</v>
      </c>
      <c r="E445" t="s">
        <v>7</v>
      </c>
      <c r="F445" t="s">
        <v>12</v>
      </c>
      <c r="G445">
        <v>50</v>
      </c>
    </row>
    <row r="446" spans="1:7" x14ac:dyDescent="0.2">
      <c r="A446">
        <f t="shared" si="8"/>
        <v>38</v>
      </c>
      <c r="B446" t="s">
        <v>6</v>
      </c>
      <c r="C446">
        <f>IF(data!$B446&lt;&gt;data!$B445,1,C445+1)</f>
        <v>1</v>
      </c>
      <c r="D446">
        <v>18</v>
      </c>
      <c r="E446" t="s">
        <v>7</v>
      </c>
      <c r="F446" t="s">
        <v>12</v>
      </c>
      <c r="G446">
        <v>50</v>
      </c>
    </row>
    <row r="447" spans="1:7" x14ac:dyDescent="0.2">
      <c r="A447">
        <f t="shared" si="8"/>
        <v>38</v>
      </c>
      <c r="B447" t="s">
        <v>6</v>
      </c>
      <c r="C447">
        <f>IF(data!$B447&lt;&gt;data!$B446,1,C446+1)</f>
        <v>2</v>
      </c>
      <c r="D447">
        <v>16.198970004336019</v>
      </c>
      <c r="E447" t="s">
        <v>7</v>
      </c>
      <c r="F447" t="s">
        <v>12</v>
      </c>
      <c r="G447">
        <v>50</v>
      </c>
    </row>
    <row r="448" spans="1:7" x14ac:dyDescent="0.2">
      <c r="A448">
        <f t="shared" si="8"/>
        <v>38</v>
      </c>
      <c r="B448" t="s">
        <v>6</v>
      </c>
      <c r="C448">
        <f>IF(data!$B448&lt;&gt;data!$B447,1,C447+1)</f>
        <v>3</v>
      </c>
      <c r="D448">
        <v>14.522878745280337</v>
      </c>
      <c r="E448" t="s">
        <v>7</v>
      </c>
      <c r="F448" t="s">
        <v>12</v>
      </c>
      <c r="G448">
        <v>50</v>
      </c>
    </row>
    <row r="449" spans="1:7" x14ac:dyDescent="0.2">
      <c r="A449">
        <f t="shared" si="8"/>
        <v>38</v>
      </c>
      <c r="B449" t="s">
        <v>6</v>
      </c>
      <c r="C449">
        <f>IF(data!$B449&lt;&gt;data!$B448,1,C448+1)</f>
        <v>4</v>
      </c>
      <c r="D449">
        <v>12.897940008672037</v>
      </c>
      <c r="E449" t="s">
        <v>7</v>
      </c>
      <c r="F449" t="s">
        <v>12</v>
      </c>
      <c r="G449">
        <v>50</v>
      </c>
    </row>
    <row r="450" spans="1:7" x14ac:dyDescent="0.2">
      <c r="A450">
        <f t="shared" si="8"/>
        <v>38</v>
      </c>
      <c r="B450" t="s">
        <v>6</v>
      </c>
      <c r="C450">
        <f>IF(data!$B450&lt;&gt;data!$B449,1,C449+1)</f>
        <v>5</v>
      </c>
      <c r="D450">
        <v>11.301029995663981</v>
      </c>
      <c r="E450" t="s">
        <v>7</v>
      </c>
      <c r="F450" t="s">
        <v>12</v>
      </c>
      <c r="G450">
        <v>50</v>
      </c>
    </row>
    <row r="451" spans="1:7" x14ac:dyDescent="0.2">
      <c r="A451">
        <f t="shared" si="8"/>
        <v>38</v>
      </c>
      <c r="B451" t="s">
        <v>6</v>
      </c>
      <c r="C451">
        <f>IF(data!$B451&lt;&gt;data!$B450,1,C450+1)</f>
        <v>6</v>
      </c>
      <c r="D451">
        <v>9.7218487496163561</v>
      </c>
      <c r="E451" t="s">
        <v>7</v>
      </c>
      <c r="F451" t="s">
        <v>12</v>
      </c>
      <c r="G451">
        <v>50</v>
      </c>
    </row>
    <row r="452" spans="1:7" x14ac:dyDescent="0.2">
      <c r="A452">
        <f t="shared" si="8"/>
        <v>38</v>
      </c>
      <c r="B452" t="s">
        <v>6</v>
      </c>
      <c r="C452">
        <f>IF(data!$B452&lt;&gt;data!$B451,1,C451+1)</f>
        <v>7</v>
      </c>
      <c r="D452">
        <v>8.1549019599857431</v>
      </c>
      <c r="E452" t="s">
        <v>7</v>
      </c>
      <c r="F452" t="s">
        <v>12</v>
      </c>
      <c r="G452">
        <v>50</v>
      </c>
    </row>
    <row r="453" spans="1:7" x14ac:dyDescent="0.2">
      <c r="A453">
        <f t="shared" si="8"/>
        <v>38</v>
      </c>
      <c r="B453" t="s">
        <v>6</v>
      </c>
      <c r="C453">
        <f>IF(data!$B453&lt;&gt;data!$B452,1,C452+1)</f>
        <v>8</v>
      </c>
      <c r="D453">
        <v>6.5969100130080562</v>
      </c>
      <c r="E453" t="s">
        <v>7</v>
      </c>
      <c r="F453" t="s">
        <v>12</v>
      </c>
      <c r="G453">
        <v>50</v>
      </c>
    </row>
    <row r="454" spans="1:7" x14ac:dyDescent="0.2">
      <c r="A454">
        <f t="shared" si="8"/>
        <v>38</v>
      </c>
      <c r="B454" t="s">
        <v>6</v>
      </c>
      <c r="C454">
        <f>IF(data!$B454&lt;&gt;data!$B453,1,C453+1)</f>
        <v>9</v>
      </c>
      <c r="D454">
        <v>5.0457574905606748</v>
      </c>
      <c r="E454" t="s">
        <v>7</v>
      </c>
      <c r="F454" t="s">
        <v>12</v>
      </c>
      <c r="G454">
        <v>50</v>
      </c>
    </row>
    <row r="455" spans="1:7" x14ac:dyDescent="0.2">
      <c r="A455">
        <f t="shared" si="8"/>
        <v>38</v>
      </c>
      <c r="B455" t="s">
        <v>6</v>
      </c>
      <c r="C455">
        <f>IF(data!$B455&lt;&gt;data!$B454,1,C454+1)</f>
        <v>10</v>
      </c>
      <c r="D455">
        <v>3.5</v>
      </c>
      <c r="E455" t="s">
        <v>7</v>
      </c>
      <c r="F455" t="s">
        <v>12</v>
      </c>
      <c r="G455">
        <v>50</v>
      </c>
    </row>
    <row r="456" spans="1:7" x14ac:dyDescent="0.2">
      <c r="A456">
        <f t="shared" si="8"/>
        <v>38</v>
      </c>
      <c r="B456" t="s">
        <v>6</v>
      </c>
      <c r="C456">
        <f>IF(data!$B456&lt;&gt;data!$B455,1,C455+1)</f>
        <v>11</v>
      </c>
      <c r="D456">
        <v>1.9586073148417749</v>
      </c>
      <c r="E456" t="s">
        <v>7</v>
      </c>
      <c r="F456" t="s">
        <v>12</v>
      </c>
      <c r="G456">
        <v>50</v>
      </c>
    </row>
    <row r="457" spans="1:7" x14ac:dyDescent="0.2">
      <c r="A457">
        <f t="shared" si="8"/>
        <v>38</v>
      </c>
      <c r="B457" t="s">
        <v>6</v>
      </c>
      <c r="C457">
        <f>IF(data!$B457&lt;&gt;data!$B456,1,C456+1)</f>
        <v>12</v>
      </c>
      <c r="D457">
        <v>0.42081875395237511</v>
      </c>
      <c r="E457" t="s">
        <v>7</v>
      </c>
      <c r="F457" t="s">
        <v>12</v>
      </c>
      <c r="G457">
        <v>50</v>
      </c>
    </row>
    <row r="458" spans="1:7" x14ac:dyDescent="0.2">
      <c r="A458">
        <f t="shared" si="8"/>
        <v>39</v>
      </c>
      <c r="B458" t="s">
        <v>5</v>
      </c>
      <c r="C458">
        <f>IF(data!$B458&lt;&gt;data!$B457,1,C457+1)</f>
        <v>1</v>
      </c>
      <c r="D458">
        <v>17</v>
      </c>
      <c r="E458" t="s">
        <v>13</v>
      </c>
      <c r="F458" t="s">
        <v>12</v>
      </c>
      <c r="G458">
        <v>50</v>
      </c>
    </row>
    <row r="459" spans="1:7" x14ac:dyDescent="0.2">
      <c r="A459">
        <f t="shared" si="8"/>
        <v>39</v>
      </c>
      <c r="B459" t="s">
        <v>5</v>
      </c>
      <c r="C459">
        <f>IF(data!$B459&lt;&gt;data!$B458,1,C458+1)</f>
        <v>2</v>
      </c>
      <c r="D459">
        <v>16.198970004336019</v>
      </c>
      <c r="E459" t="s">
        <v>13</v>
      </c>
      <c r="F459" t="s">
        <v>12</v>
      </c>
      <c r="G459">
        <v>50</v>
      </c>
    </row>
    <row r="460" spans="1:7" x14ac:dyDescent="0.2">
      <c r="A460">
        <f t="shared" si="8"/>
        <v>39</v>
      </c>
      <c r="B460" t="s">
        <v>5</v>
      </c>
      <c r="C460">
        <f>IF(data!$B460&lt;&gt;data!$B459,1,C459+1)</f>
        <v>3</v>
      </c>
      <c r="D460">
        <v>15.522878745280337</v>
      </c>
      <c r="E460" t="s">
        <v>13</v>
      </c>
      <c r="F460" t="s">
        <v>12</v>
      </c>
      <c r="G460">
        <v>50</v>
      </c>
    </row>
    <row r="461" spans="1:7" x14ac:dyDescent="0.2">
      <c r="A461">
        <f t="shared" si="8"/>
        <v>39</v>
      </c>
      <c r="B461" t="s">
        <v>5</v>
      </c>
      <c r="C461">
        <f>IF(data!$B461&lt;&gt;data!$B460,1,C460+1)</f>
        <v>4</v>
      </c>
      <c r="D461">
        <v>14.897940008672037</v>
      </c>
      <c r="E461" t="s">
        <v>13</v>
      </c>
      <c r="F461" t="s">
        <v>12</v>
      </c>
      <c r="G461">
        <v>50</v>
      </c>
    </row>
    <row r="462" spans="1:7" x14ac:dyDescent="0.2">
      <c r="A462">
        <f t="shared" si="8"/>
        <v>39</v>
      </c>
      <c r="B462" t="s">
        <v>5</v>
      </c>
      <c r="C462">
        <f>IF(data!$B462&lt;&gt;data!$B461,1,C461+1)</f>
        <v>5</v>
      </c>
      <c r="D462">
        <v>14.301029995663981</v>
      </c>
      <c r="E462" t="s">
        <v>13</v>
      </c>
      <c r="F462" t="s">
        <v>12</v>
      </c>
      <c r="G462">
        <v>50</v>
      </c>
    </row>
    <row r="463" spans="1:7" x14ac:dyDescent="0.2">
      <c r="A463">
        <f t="shared" si="8"/>
        <v>39</v>
      </c>
      <c r="B463" t="s">
        <v>5</v>
      </c>
      <c r="C463">
        <f>IF(data!$B463&lt;&gt;data!$B462,1,C462+1)</f>
        <v>6</v>
      </c>
      <c r="D463">
        <v>13.721848749616356</v>
      </c>
      <c r="E463" t="s">
        <v>13</v>
      </c>
      <c r="F463" t="s">
        <v>12</v>
      </c>
      <c r="G463">
        <v>50</v>
      </c>
    </row>
    <row r="464" spans="1:7" x14ac:dyDescent="0.2">
      <c r="A464">
        <f t="shared" si="8"/>
        <v>39</v>
      </c>
      <c r="B464" t="s">
        <v>5</v>
      </c>
      <c r="C464">
        <f>IF(data!$B464&lt;&gt;data!$B463,1,C463+1)</f>
        <v>7</v>
      </c>
      <c r="D464">
        <v>13.154901959985743</v>
      </c>
      <c r="E464" t="s">
        <v>13</v>
      </c>
      <c r="F464" t="s">
        <v>12</v>
      </c>
      <c r="G464">
        <v>50</v>
      </c>
    </row>
    <row r="465" spans="1:7" x14ac:dyDescent="0.2">
      <c r="A465">
        <f t="shared" si="8"/>
        <v>39</v>
      </c>
      <c r="B465" t="s">
        <v>5</v>
      </c>
      <c r="C465">
        <f>IF(data!$B465&lt;&gt;data!$B464,1,C464+1)</f>
        <v>8</v>
      </c>
      <c r="D465">
        <v>12.596910013008056</v>
      </c>
      <c r="E465" t="s">
        <v>13</v>
      </c>
      <c r="F465" t="s">
        <v>12</v>
      </c>
      <c r="G465">
        <v>50</v>
      </c>
    </row>
    <row r="466" spans="1:7" x14ac:dyDescent="0.2">
      <c r="A466">
        <f t="shared" si="8"/>
        <v>39</v>
      </c>
      <c r="B466" t="s">
        <v>5</v>
      </c>
      <c r="C466">
        <f>IF(data!$B466&lt;&gt;data!$B465,1,C465+1)</f>
        <v>9</v>
      </c>
      <c r="D466">
        <v>12.045757490560675</v>
      </c>
      <c r="E466" t="s">
        <v>13</v>
      </c>
      <c r="F466" t="s">
        <v>12</v>
      </c>
      <c r="G466">
        <v>50</v>
      </c>
    </row>
    <row r="467" spans="1:7" x14ac:dyDescent="0.2">
      <c r="A467">
        <f t="shared" si="8"/>
        <v>39</v>
      </c>
      <c r="B467" t="s">
        <v>5</v>
      </c>
      <c r="C467">
        <f>IF(data!$B467&lt;&gt;data!$B466,1,C466+1)</f>
        <v>10</v>
      </c>
      <c r="D467">
        <v>11.5</v>
      </c>
      <c r="E467" t="s">
        <v>13</v>
      </c>
      <c r="F467" t="s">
        <v>12</v>
      </c>
      <c r="G467">
        <v>50</v>
      </c>
    </row>
    <row r="468" spans="1:7" x14ac:dyDescent="0.2">
      <c r="A468">
        <f t="shared" si="8"/>
        <v>39</v>
      </c>
      <c r="B468" t="s">
        <v>5</v>
      </c>
      <c r="C468">
        <f>IF(data!$B468&lt;&gt;data!$B467,1,C467+1)</f>
        <v>11</v>
      </c>
      <c r="D468">
        <v>10.958607314841775</v>
      </c>
      <c r="E468" t="s">
        <v>13</v>
      </c>
      <c r="F468" t="s">
        <v>12</v>
      </c>
      <c r="G468">
        <v>50</v>
      </c>
    </row>
    <row r="469" spans="1:7" x14ac:dyDescent="0.2">
      <c r="A469">
        <f t="shared" si="8"/>
        <v>39</v>
      </c>
      <c r="B469" t="s">
        <v>5</v>
      </c>
      <c r="C469">
        <f>IF(data!$B469&lt;&gt;data!$B468,1,C468+1)</f>
        <v>12</v>
      </c>
      <c r="D469">
        <v>10.420818753952375</v>
      </c>
      <c r="E469" t="s">
        <v>13</v>
      </c>
      <c r="F469" t="s">
        <v>12</v>
      </c>
      <c r="G469">
        <v>50</v>
      </c>
    </row>
    <row r="470" spans="1:7" x14ac:dyDescent="0.2">
      <c r="A470">
        <f t="shared" si="8"/>
        <v>40</v>
      </c>
      <c r="B470" t="s">
        <v>6</v>
      </c>
      <c r="C470">
        <f>IF(data!$B470&lt;&gt;data!$B469,1,C469+1)</f>
        <v>1</v>
      </c>
      <c r="D470">
        <v>19</v>
      </c>
      <c r="E470" t="s">
        <v>13</v>
      </c>
      <c r="F470" t="s">
        <v>12</v>
      </c>
      <c r="G470">
        <v>50</v>
      </c>
    </row>
    <row r="471" spans="1:7" x14ac:dyDescent="0.2">
      <c r="A471">
        <f t="shared" si="8"/>
        <v>40</v>
      </c>
      <c r="B471" t="s">
        <v>6</v>
      </c>
      <c r="C471">
        <f>IF(data!$B471&lt;&gt;data!$B470,1,C470+1)</f>
        <v>2</v>
      </c>
      <c r="D471">
        <v>17.498970004336019</v>
      </c>
      <c r="E471" t="s">
        <v>13</v>
      </c>
      <c r="F471" t="s">
        <v>12</v>
      </c>
      <c r="G471">
        <v>50</v>
      </c>
    </row>
    <row r="472" spans="1:7" x14ac:dyDescent="0.2">
      <c r="A472">
        <f t="shared" si="8"/>
        <v>40</v>
      </c>
      <c r="B472" t="s">
        <v>6</v>
      </c>
      <c r="C472">
        <f>IF(data!$B472&lt;&gt;data!$B471,1,C471+1)</f>
        <v>3</v>
      </c>
      <c r="D472">
        <v>16.122878745280339</v>
      </c>
      <c r="E472" t="s">
        <v>13</v>
      </c>
      <c r="F472" t="s">
        <v>12</v>
      </c>
      <c r="G472">
        <v>50</v>
      </c>
    </row>
    <row r="473" spans="1:7" x14ac:dyDescent="0.2">
      <c r="A473">
        <f t="shared" si="8"/>
        <v>40</v>
      </c>
      <c r="B473" t="s">
        <v>6</v>
      </c>
      <c r="C473">
        <f>IF(data!$B473&lt;&gt;data!$B472,1,C472+1)</f>
        <v>4</v>
      </c>
      <c r="D473">
        <v>14.79794000867204</v>
      </c>
      <c r="E473" t="s">
        <v>13</v>
      </c>
      <c r="F473" t="s">
        <v>12</v>
      </c>
      <c r="G473">
        <v>50</v>
      </c>
    </row>
    <row r="474" spans="1:7" x14ac:dyDescent="0.2">
      <c r="A474">
        <f t="shared" si="8"/>
        <v>40</v>
      </c>
      <c r="B474" t="s">
        <v>6</v>
      </c>
      <c r="C474">
        <f>IF(data!$B474&lt;&gt;data!$B473,1,C473+1)</f>
        <v>5</v>
      </c>
      <c r="D474">
        <v>13.501029995663984</v>
      </c>
      <c r="E474" t="s">
        <v>13</v>
      </c>
      <c r="F474" t="s">
        <v>12</v>
      </c>
      <c r="G474">
        <v>50</v>
      </c>
    </row>
    <row r="475" spans="1:7" x14ac:dyDescent="0.2">
      <c r="A475">
        <f t="shared" si="8"/>
        <v>40</v>
      </c>
      <c r="B475" t="s">
        <v>6</v>
      </c>
      <c r="C475">
        <f>IF(data!$B475&lt;&gt;data!$B474,1,C474+1)</f>
        <v>6</v>
      </c>
      <c r="D475">
        <v>12.22184874961636</v>
      </c>
      <c r="E475" t="s">
        <v>13</v>
      </c>
      <c r="F475" t="s">
        <v>12</v>
      </c>
      <c r="G475">
        <v>50</v>
      </c>
    </row>
    <row r="476" spans="1:7" x14ac:dyDescent="0.2">
      <c r="A476">
        <f t="shared" si="8"/>
        <v>40</v>
      </c>
      <c r="B476" t="s">
        <v>6</v>
      </c>
      <c r="C476">
        <f>IF(data!$B476&lt;&gt;data!$B475,1,C475+1)</f>
        <v>7</v>
      </c>
      <c r="D476">
        <v>10.954901959985747</v>
      </c>
      <c r="E476" t="s">
        <v>13</v>
      </c>
      <c r="F476" t="s">
        <v>12</v>
      </c>
      <c r="G476">
        <v>50</v>
      </c>
    </row>
    <row r="477" spans="1:7" x14ac:dyDescent="0.2">
      <c r="A477">
        <f t="shared" si="8"/>
        <v>40</v>
      </c>
      <c r="B477" t="s">
        <v>6</v>
      </c>
      <c r="C477">
        <f>IF(data!$B477&lt;&gt;data!$B476,1,C476+1)</f>
        <v>8</v>
      </c>
      <c r="D477">
        <v>9.6969100130080612</v>
      </c>
      <c r="E477" t="s">
        <v>13</v>
      </c>
      <c r="F477" t="s">
        <v>12</v>
      </c>
      <c r="G477">
        <v>50</v>
      </c>
    </row>
    <row r="478" spans="1:7" x14ac:dyDescent="0.2">
      <c r="A478">
        <f t="shared" si="8"/>
        <v>40</v>
      </c>
      <c r="B478" t="s">
        <v>6</v>
      </c>
      <c r="C478">
        <f>IF(data!$B478&lt;&gt;data!$B477,1,C477+1)</f>
        <v>9</v>
      </c>
      <c r="D478">
        <v>8.4457574905606805</v>
      </c>
      <c r="E478" t="s">
        <v>13</v>
      </c>
      <c r="F478" t="s">
        <v>12</v>
      </c>
      <c r="G478">
        <v>50</v>
      </c>
    </row>
    <row r="479" spans="1:7" x14ac:dyDescent="0.2">
      <c r="A479">
        <f t="shared" si="8"/>
        <v>40</v>
      </c>
      <c r="B479" t="s">
        <v>6</v>
      </c>
      <c r="C479">
        <f>IF(data!$B479&lt;&gt;data!$B478,1,C478+1)</f>
        <v>10</v>
      </c>
      <c r="D479">
        <v>7.2000000000000064</v>
      </c>
      <c r="E479" t="s">
        <v>13</v>
      </c>
      <c r="F479" t="s">
        <v>12</v>
      </c>
      <c r="G479">
        <v>50</v>
      </c>
    </row>
    <row r="480" spans="1:7" x14ac:dyDescent="0.2">
      <c r="A480">
        <f t="shared" si="8"/>
        <v>40</v>
      </c>
      <c r="B480" t="s">
        <v>6</v>
      </c>
      <c r="C480">
        <f>IF(data!$B480&lt;&gt;data!$B479,1,C479+1)</f>
        <v>11</v>
      </c>
      <c r="D480">
        <v>5.9586073148417809</v>
      </c>
      <c r="E480" t="s">
        <v>13</v>
      </c>
      <c r="F480" t="s">
        <v>12</v>
      </c>
      <c r="G480">
        <v>50</v>
      </c>
    </row>
    <row r="481" spans="1:7" x14ac:dyDescent="0.2">
      <c r="A481">
        <f t="shared" si="8"/>
        <v>40</v>
      </c>
      <c r="B481" t="s">
        <v>6</v>
      </c>
      <c r="C481">
        <f>IF(data!$B481&lt;&gt;data!$B480,1,C480+1)</f>
        <v>12</v>
      </c>
      <c r="D481">
        <v>4.7208187539523809</v>
      </c>
      <c r="E481" t="s">
        <v>13</v>
      </c>
      <c r="F481" t="s">
        <v>12</v>
      </c>
      <c r="G481">
        <v>50</v>
      </c>
    </row>
    <row r="482" spans="1:7" x14ac:dyDescent="0.2">
      <c r="A482">
        <f t="shared" ref="A482:A545" si="9">IF(B482=B481,A481,A481+1)</f>
        <v>41</v>
      </c>
      <c r="B482" t="s">
        <v>5</v>
      </c>
      <c r="C482">
        <f>IF(data!$B482&lt;&gt;data!$B481,1,C481+1)</f>
        <v>1</v>
      </c>
      <c r="D482">
        <v>23</v>
      </c>
      <c r="E482" t="s">
        <v>7</v>
      </c>
      <c r="F482" t="s">
        <v>14</v>
      </c>
      <c r="G482">
        <v>50</v>
      </c>
    </row>
    <row r="483" spans="1:7" x14ac:dyDescent="0.2">
      <c r="A483">
        <f t="shared" si="9"/>
        <v>41</v>
      </c>
      <c r="B483" t="s">
        <v>5</v>
      </c>
      <c r="C483">
        <f>IF(data!$B483&lt;&gt;data!$B482,1,C482+1)</f>
        <v>2</v>
      </c>
      <c r="D483">
        <v>22</v>
      </c>
      <c r="E483" t="s">
        <v>7</v>
      </c>
      <c r="F483" t="s">
        <v>14</v>
      </c>
      <c r="G483">
        <v>50</v>
      </c>
    </row>
    <row r="484" spans="1:7" x14ac:dyDescent="0.2">
      <c r="A484">
        <f t="shared" si="9"/>
        <v>41</v>
      </c>
      <c r="B484" t="s">
        <v>5</v>
      </c>
      <c r="C484">
        <f>IF(data!$B484&lt;&gt;data!$B483,1,C483+1)</f>
        <v>3</v>
      </c>
      <c r="D484">
        <v>21</v>
      </c>
      <c r="E484" t="s">
        <v>7</v>
      </c>
      <c r="F484" t="s">
        <v>14</v>
      </c>
      <c r="G484">
        <v>50</v>
      </c>
    </row>
    <row r="485" spans="1:7" x14ac:dyDescent="0.2">
      <c r="A485">
        <f t="shared" si="9"/>
        <v>41</v>
      </c>
      <c r="B485" t="s">
        <v>5</v>
      </c>
      <c r="C485">
        <f>IF(data!$B485&lt;&gt;data!$B484,1,C484+1)</f>
        <v>4</v>
      </c>
      <c r="D485">
        <v>20</v>
      </c>
      <c r="E485" t="s">
        <v>7</v>
      </c>
      <c r="F485" t="s">
        <v>14</v>
      </c>
      <c r="G485">
        <v>50</v>
      </c>
    </row>
    <row r="486" spans="1:7" x14ac:dyDescent="0.2">
      <c r="A486">
        <f t="shared" si="9"/>
        <v>41</v>
      </c>
      <c r="B486" t="s">
        <v>5</v>
      </c>
      <c r="C486">
        <f>IF(data!$B486&lt;&gt;data!$B485,1,C485+1)</f>
        <v>5</v>
      </c>
      <c r="D486">
        <v>19</v>
      </c>
      <c r="E486" t="s">
        <v>7</v>
      </c>
      <c r="F486" t="s">
        <v>14</v>
      </c>
      <c r="G486">
        <v>50</v>
      </c>
    </row>
    <row r="487" spans="1:7" x14ac:dyDescent="0.2">
      <c r="A487">
        <f t="shared" si="9"/>
        <v>41</v>
      </c>
      <c r="B487" t="s">
        <v>5</v>
      </c>
      <c r="C487">
        <f>IF(data!$B487&lt;&gt;data!$B486,1,C486+1)</f>
        <v>6</v>
      </c>
      <c r="D487">
        <v>18</v>
      </c>
      <c r="E487" t="s">
        <v>7</v>
      </c>
      <c r="F487" t="s">
        <v>14</v>
      </c>
      <c r="G487">
        <v>50</v>
      </c>
    </row>
    <row r="488" spans="1:7" x14ac:dyDescent="0.2">
      <c r="A488">
        <f t="shared" si="9"/>
        <v>41</v>
      </c>
      <c r="B488" t="s">
        <v>5</v>
      </c>
      <c r="C488">
        <f>IF(data!$B488&lt;&gt;data!$B487,1,C487+1)</f>
        <v>7</v>
      </c>
      <c r="D488">
        <v>17</v>
      </c>
      <c r="E488" t="s">
        <v>7</v>
      </c>
      <c r="F488" t="s">
        <v>14</v>
      </c>
      <c r="G488">
        <v>50</v>
      </c>
    </row>
    <row r="489" spans="1:7" x14ac:dyDescent="0.2">
      <c r="A489">
        <f t="shared" si="9"/>
        <v>41</v>
      </c>
      <c r="B489" t="s">
        <v>5</v>
      </c>
      <c r="C489">
        <f>IF(data!$B489&lt;&gt;data!$B488,1,C488+1)</f>
        <v>8</v>
      </c>
      <c r="D489">
        <v>16</v>
      </c>
      <c r="E489" t="s">
        <v>7</v>
      </c>
      <c r="F489" t="s">
        <v>14</v>
      </c>
      <c r="G489">
        <v>50</v>
      </c>
    </row>
    <row r="490" spans="1:7" x14ac:dyDescent="0.2">
      <c r="A490">
        <f t="shared" si="9"/>
        <v>41</v>
      </c>
      <c r="B490" t="s">
        <v>5</v>
      </c>
      <c r="C490">
        <f>IF(data!$B490&lt;&gt;data!$B489,1,C489+1)</f>
        <v>9</v>
      </c>
      <c r="D490">
        <v>15</v>
      </c>
      <c r="E490" t="s">
        <v>7</v>
      </c>
      <c r="F490" t="s">
        <v>14</v>
      </c>
      <c r="G490">
        <v>50</v>
      </c>
    </row>
    <row r="491" spans="1:7" x14ac:dyDescent="0.2">
      <c r="A491">
        <f t="shared" si="9"/>
        <v>41</v>
      </c>
      <c r="B491" t="s">
        <v>5</v>
      </c>
      <c r="C491">
        <f>IF(data!$B491&lt;&gt;data!$B490,1,C490+1)</f>
        <v>10</v>
      </c>
      <c r="D491">
        <v>14</v>
      </c>
      <c r="E491" t="s">
        <v>7</v>
      </c>
      <c r="F491" t="s">
        <v>14</v>
      </c>
      <c r="G491">
        <v>50</v>
      </c>
    </row>
    <row r="492" spans="1:7" x14ac:dyDescent="0.2">
      <c r="A492">
        <f t="shared" si="9"/>
        <v>41</v>
      </c>
      <c r="B492" t="s">
        <v>5</v>
      </c>
      <c r="C492">
        <f>IF(data!$B492&lt;&gt;data!$B491,1,C491+1)</f>
        <v>11</v>
      </c>
      <c r="D492">
        <v>13</v>
      </c>
      <c r="E492" t="s">
        <v>7</v>
      </c>
      <c r="F492" t="s">
        <v>14</v>
      </c>
      <c r="G492">
        <v>50</v>
      </c>
    </row>
    <row r="493" spans="1:7" x14ac:dyDescent="0.2">
      <c r="A493">
        <f t="shared" si="9"/>
        <v>41</v>
      </c>
      <c r="B493" t="s">
        <v>5</v>
      </c>
      <c r="C493">
        <f>IF(data!$B493&lt;&gt;data!$B492,1,C492+1)</f>
        <v>12</v>
      </c>
      <c r="D493">
        <v>12</v>
      </c>
      <c r="E493" t="s">
        <v>7</v>
      </c>
      <c r="F493" t="s">
        <v>14</v>
      </c>
      <c r="G493">
        <v>50</v>
      </c>
    </row>
    <row r="494" spans="1:7" x14ac:dyDescent="0.2">
      <c r="A494">
        <f t="shared" si="9"/>
        <v>42</v>
      </c>
      <c r="B494" t="s">
        <v>6</v>
      </c>
      <c r="C494">
        <f>IF(data!$B494&lt;&gt;data!$B493,1,C493+1)</f>
        <v>1</v>
      </c>
      <c r="D494">
        <v>25</v>
      </c>
      <c r="E494" t="s">
        <v>7</v>
      </c>
      <c r="F494" t="s">
        <v>14</v>
      </c>
      <c r="G494">
        <v>50</v>
      </c>
    </row>
    <row r="495" spans="1:7" x14ac:dyDescent="0.2">
      <c r="A495">
        <f t="shared" si="9"/>
        <v>42</v>
      </c>
      <c r="B495" t="s">
        <v>6</v>
      </c>
      <c r="C495">
        <f>IF(data!$B495&lt;&gt;data!$B494,1,C494+1)</f>
        <v>2</v>
      </c>
      <c r="D495">
        <v>23.5</v>
      </c>
      <c r="E495" t="s">
        <v>7</v>
      </c>
      <c r="F495" t="s">
        <v>14</v>
      </c>
      <c r="G495">
        <v>50</v>
      </c>
    </row>
    <row r="496" spans="1:7" x14ac:dyDescent="0.2">
      <c r="A496">
        <f t="shared" si="9"/>
        <v>42</v>
      </c>
      <c r="B496" t="s">
        <v>6</v>
      </c>
      <c r="C496">
        <f>IF(data!$B496&lt;&gt;data!$B495,1,C495+1)</f>
        <v>3</v>
      </c>
      <c r="D496">
        <v>22</v>
      </c>
      <c r="E496" t="s">
        <v>7</v>
      </c>
      <c r="F496" t="s">
        <v>14</v>
      </c>
      <c r="G496">
        <v>50</v>
      </c>
    </row>
    <row r="497" spans="1:7" x14ac:dyDescent="0.2">
      <c r="A497">
        <f t="shared" si="9"/>
        <v>42</v>
      </c>
      <c r="B497" t="s">
        <v>6</v>
      </c>
      <c r="C497">
        <f>IF(data!$B497&lt;&gt;data!$B496,1,C496+1)</f>
        <v>4</v>
      </c>
      <c r="D497">
        <v>20.5</v>
      </c>
      <c r="E497" t="s">
        <v>7</v>
      </c>
      <c r="F497" t="s">
        <v>14</v>
      </c>
      <c r="G497">
        <v>50</v>
      </c>
    </row>
    <row r="498" spans="1:7" x14ac:dyDescent="0.2">
      <c r="A498">
        <f t="shared" si="9"/>
        <v>42</v>
      </c>
      <c r="B498" t="s">
        <v>6</v>
      </c>
      <c r="C498">
        <f>IF(data!$B498&lt;&gt;data!$B497,1,C497+1)</f>
        <v>5</v>
      </c>
      <c r="D498">
        <v>19</v>
      </c>
      <c r="E498" t="s">
        <v>7</v>
      </c>
      <c r="F498" t="s">
        <v>14</v>
      </c>
      <c r="G498">
        <v>50</v>
      </c>
    </row>
    <row r="499" spans="1:7" x14ac:dyDescent="0.2">
      <c r="A499">
        <f t="shared" si="9"/>
        <v>42</v>
      </c>
      <c r="B499" t="s">
        <v>6</v>
      </c>
      <c r="C499">
        <f>IF(data!$B499&lt;&gt;data!$B498,1,C498+1)</f>
        <v>6</v>
      </c>
      <c r="D499">
        <v>17.5</v>
      </c>
      <c r="E499" t="s">
        <v>7</v>
      </c>
      <c r="F499" t="s">
        <v>14</v>
      </c>
      <c r="G499">
        <v>50</v>
      </c>
    </row>
    <row r="500" spans="1:7" x14ac:dyDescent="0.2">
      <c r="A500">
        <f t="shared" si="9"/>
        <v>42</v>
      </c>
      <c r="B500" t="s">
        <v>6</v>
      </c>
      <c r="C500">
        <f>IF(data!$B500&lt;&gt;data!$B499,1,C499+1)</f>
        <v>7</v>
      </c>
      <c r="D500">
        <v>16</v>
      </c>
      <c r="E500" t="s">
        <v>7</v>
      </c>
      <c r="F500" t="s">
        <v>14</v>
      </c>
      <c r="G500">
        <v>50</v>
      </c>
    </row>
    <row r="501" spans="1:7" x14ac:dyDescent="0.2">
      <c r="A501">
        <f t="shared" si="9"/>
        <v>42</v>
      </c>
      <c r="B501" t="s">
        <v>6</v>
      </c>
      <c r="C501">
        <f>IF(data!$B501&lt;&gt;data!$B500,1,C500+1)</f>
        <v>8</v>
      </c>
      <c r="D501">
        <v>14.5</v>
      </c>
      <c r="E501" t="s">
        <v>7</v>
      </c>
      <c r="F501" t="s">
        <v>14</v>
      </c>
      <c r="G501">
        <v>50</v>
      </c>
    </row>
    <row r="502" spans="1:7" x14ac:dyDescent="0.2">
      <c r="A502">
        <f t="shared" si="9"/>
        <v>42</v>
      </c>
      <c r="B502" t="s">
        <v>6</v>
      </c>
      <c r="C502">
        <f>IF(data!$B502&lt;&gt;data!$B501,1,C501+1)</f>
        <v>9</v>
      </c>
      <c r="D502">
        <v>13</v>
      </c>
      <c r="E502" t="s">
        <v>7</v>
      </c>
      <c r="F502" t="s">
        <v>14</v>
      </c>
      <c r="G502">
        <v>50</v>
      </c>
    </row>
    <row r="503" spans="1:7" x14ac:dyDescent="0.2">
      <c r="A503">
        <f t="shared" si="9"/>
        <v>42</v>
      </c>
      <c r="B503" t="s">
        <v>6</v>
      </c>
      <c r="C503">
        <f>IF(data!$B503&lt;&gt;data!$B502,1,C502+1)</f>
        <v>10</v>
      </c>
      <c r="D503">
        <v>11.5</v>
      </c>
      <c r="E503" t="s">
        <v>7</v>
      </c>
      <c r="F503" t="s">
        <v>14</v>
      </c>
      <c r="G503">
        <v>50</v>
      </c>
    </row>
    <row r="504" spans="1:7" x14ac:dyDescent="0.2">
      <c r="A504">
        <f t="shared" si="9"/>
        <v>42</v>
      </c>
      <c r="B504" t="s">
        <v>6</v>
      </c>
      <c r="C504">
        <f>IF(data!$B504&lt;&gt;data!$B503,1,C503+1)</f>
        <v>11</v>
      </c>
      <c r="D504">
        <v>10</v>
      </c>
      <c r="E504" t="s">
        <v>7</v>
      </c>
      <c r="F504" t="s">
        <v>14</v>
      </c>
      <c r="G504">
        <v>50</v>
      </c>
    </row>
    <row r="505" spans="1:7" x14ac:dyDescent="0.2">
      <c r="A505">
        <f t="shared" si="9"/>
        <v>42</v>
      </c>
      <c r="B505" t="s">
        <v>6</v>
      </c>
      <c r="C505">
        <f>IF(data!$B505&lt;&gt;data!$B504,1,C504+1)</f>
        <v>12</v>
      </c>
      <c r="D505">
        <v>8.5</v>
      </c>
      <c r="E505" t="s">
        <v>7</v>
      </c>
      <c r="F505" t="s">
        <v>14</v>
      </c>
      <c r="G505">
        <v>50</v>
      </c>
    </row>
    <row r="506" spans="1:7" x14ac:dyDescent="0.2">
      <c r="A506">
        <f t="shared" si="9"/>
        <v>43</v>
      </c>
      <c r="B506" t="s">
        <v>5</v>
      </c>
      <c r="C506">
        <f>IF(data!$B506&lt;&gt;data!$B505,1,C505+1)</f>
        <v>1</v>
      </c>
      <c r="D506">
        <v>24</v>
      </c>
      <c r="E506" t="s">
        <v>13</v>
      </c>
      <c r="F506" t="s">
        <v>14</v>
      </c>
      <c r="G506">
        <v>50</v>
      </c>
    </row>
    <row r="507" spans="1:7" x14ac:dyDescent="0.2">
      <c r="A507">
        <f t="shared" si="9"/>
        <v>43</v>
      </c>
      <c r="B507" t="s">
        <v>5</v>
      </c>
      <c r="C507">
        <f>IF(data!$B507&lt;&gt;data!$B506,1,C506+1)</f>
        <v>2</v>
      </c>
      <c r="D507">
        <v>23.5</v>
      </c>
      <c r="E507" t="s">
        <v>13</v>
      </c>
      <c r="F507" t="s">
        <v>14</v>
      </c>
      <c r="G507">
        <v>50</v>
      </c>
    </row>
    <row r="508" spans="1:7" x14ac:dyDescent="0.2">
      <c r="A508">
        <f t="shared" si="9"/>
        <v>43</v>
      </c>
      <c r="B508" t="s">
        <v>5</v>
      </c>
      <c r="C508">
        <f>IF(data!$B508&lt;&gt;data!$B507,1,C507+1)</f>
        <v>3</v>
      </c>
      <c r="D508">
        <v>23</v>
      </c>
      <c r="E508" t="s">
        <v>13</v>
      </c>
      <c r="F508" t="s">
        <v>14</v>
      </c>
      <c r="G508">
        <v>50</v>
      </c>
    </row>
    <row r="509" spans="1:7" x14ac:dyDescent="0.2">
      <c r="A509">
        <f t="shared" si="9"/>
        <v>43</v>
      </c>
      <c r="B509" t="s">
        <v>5</v>
      </c>
      <c r="C509">
        <f>IF(data!$B509&lt;&gt;data!$B508,1,C508+1)</f>
        <v>4</v>
      </c>
      <c r="D509">
        <v>22.5</v>
      </c>
      <c r="E509" t="s">
        <v>13</v>
      </c>
      <c r="F509" t="s">
        <v>14</v>
      </c>
      <c r="G509">
        <v>50</v>
      </c>
    </row>
    <row r="510" spans="1:7" x14ac:dyDescent="0.2">
      <c r="A510">
        <f t="shared" si="9"/>
        <v>43</v>
      </c>
      <c r="B510" t="s">
        <v>5</v>
      </c>
      <c r="C510">
        <f>IF(data!$B510&lt;&gt;data!$B509,1,C509+1)</f>
        <v>5</v>
      </c>
      <c r="D510">
        <v>22</v>
      </c>
      <c r="E510" t="s">
        <v>13</v>
      </c>
      <c r="F510" t="s">
        <v>14</v>
      </c>
      <c r="G510">
        <v>50</v>
      </c>
    </row>
    <row r="511" spans="1:7" x14ac:dyDescent="0.2">
      <c r="A511">
        <f t="shared" si="9"/>
        <v>43</v>
      </c>
      <c r="B511" t="s">
        <v>5</v>
      </c>
      <c r="C511">
        <f>IF(data!$B511&lt;&gt;data!$B510,1,C510+1)</f>
        <v>6</v>
      </c>
      <c r="D511">
        <v>21.5</v>
      </c>
      <c r="E511" t="s">
        <v>13</v>
      </c>
      <c r="F511" t="s">
        <v>14</v>
      </c>
      <c r="G511">
        <v>50</v>
      </c>
    </row>
    <row r="512" spans="1:7" x14ac:dyDescent="0.2">
      <c r="A512">
        <f t="shared" si="9"/>
        <v>43</v>
      </c>
      <c r="B512" t="s">
        <v>5</v>
      </c>
      <c r="C512">
        <f>IF(data!$B512&lt;&gt;data!$B511,1,C511+1)</f>
        <v>7</v>
      </c>
      <c r="D512">
        <v>21</v>
      </c>
      <c r="E512" t="s">
        <v>13</v>
      </c>
      <c r="F512" t="s">
        <v>14</v>
      </c>
      <c r="G512">
        <v>50</v>
      </c>
    </row>
    <row r="513" spans="1:7" x14ac:dyDescent="0.2">
      <c r="A513">
        <f t="shared" si="9"/>
        <v>43</v>
      </c>
      <c r="B513" t="s">
        <v>5</v>
      </c>
      <c r="C513">
        <f>IF(data!$B513&lt;&gt;data!$B512,1,C512+1)</f>
        <v>8</v>
      </c>
      <c r="D513">
        <v>20.5</v>
      </c>
      <c r="E513" t="s">
        <v>13</v>
      </c>
      <c r="F513" t="s">
        <v>14</v>
      </c>
      <c r="G513">
        <v>50</v>
      </c>
    </row>
    <row r="514" spans="1:7" x14ac:dyDescent="0.2">
      <c r="A514">
        <f t="shared" si="9"/>
        <v>43</v>
      </c>
      <c r="B514" t="s">
        <v>5</v>
      </c>
      <c r="C514">
        <f>IF(data!$B514&lt;&gt;data!$B513,1,C513+1)</f>
        <v>9</v>
      </c>
      <c r="D514">
        <v>20</v>
      </c>
      <c r="E514" t="s">
        <v>13</v>
      </c>
      <c r="F514" t="s">
        <v>14</v>
      </c>
      <c r="G514">
        <v>50</v>
      </c>
    </row>
    <row r="515" spans="1:7" x14ac:dyDescent="0.2">
      <c r="A515">
        <f t="shared" si="9"/>
        <v>43</v>
      </c>
      <c r="B515" t="s">
        <v>5</v>
      </c>
      <c r="C515">
        <f>IF(data!$B515&lt;&gt;data!$B514,1,C514+1)</f>
        <v>10</v>
      </c>
      <c r="D515">
        <v>19.5</v>
      </c>
      <c r="E515" t="s">
        <v>13</v>
      </c>
      <c r="F515" t="s">
        <v>14</v>
      </c>
      <c r="G515">
        <v>50</v>
      </c>
    </row>
    <row r="516" spans="1:7" x14ac:dyDescent="0.2">
      <c r="A516">
        <f t="shared" si="9"/>
        <v>43</v>
      </c>
      <c r="B516" t="s">
        <v>5</v>
      </c>
      <c r="C516">
        <f>IF(data!$B516&lt;&gt;data!$B515,1,C515+1)</f>
        <v>11</v>
      </c>
      <c r="D516">
        <v>19</v>
      </c>
      <c r="E516" t="s">
        <v>13</v>
      </c>
      <c r="F516" t="s">
        <v>14</v>
      </c>
      <c r="G516">
        <v>50</v>
      </c>
    </row>
    <row r="517" spans="1:7" x14ac:dyDescent="0.2">
      <c r="A517">
        <f t="shared" si="9"/>
        <v>43</v>
      </c>
      <c r="B517" t="s">
        <v>5</v>
      </c>
      <c r="C517">
        <f>IF(data!$B517&lt;&gt;data!$B516,1,C516+1)</f>
        <v>12</v>
      </c>
      <c r="D517">
        <v>18.5</v>
      </c>
      <c r="E517" t="s">
        <v>13</v>
      </c>
      <c r="F517" t="s">
        <v>14</v>
      </c>
      <c r="G517">
        <v>50</v>
      </c>
    </row>
    <row r="518" spans="1:7" x14ac:dyDescent="0.2">
      <c r="A518">
        <f t="shared" si="9"/>
        <v>44</v>
      </c>
      <c r="B518" t="s">
        <v>6</v>
      </c>
      <c r="C518">
        <f>IF(data!$B518&lt;&gt;data!$B517,1,C517+1)</f>
        <v>1</v>
      </c>
      <c r="D518">
        <v>26</v>
      </c>
      <c r="E518" t="s">
        <v>13</v>
      </c>
      <c r="F518" t="s">
        <v>14</v>
      </c>
      <c r="G518">
        <v>50</v>
      </c>
    </row>
    <row r="519" spans="1:7" x14ac:dyDescent="0.2">
      <c r="A519">
        <f t="shared" si="9"/>
        <v>44</v>
      </c>
      <c r="B519" t="s">
        <v>6</v>
      </c>
      <c r="C519">
        <f>IF(data!$B519&lt;&gt;data!$B518,1,C518+1)</f>
        <v>2</v>
      </c>
      <c r="D519">
        <v>24.8</v>
      </c>
      <c r="E519" t="s">
        <v>13</v>
      </c>
      <c r="F519" t="s">
        <v>14</v>
      </c>
      <c r="G519">
        <v>50</v>
      </c>
    </row>
    <row r="520" spans="1:7" x14ac:dyDescent="0.2">
      <c r="A520">
        <f t="shared" si="9"/>
        <v>44</v>
      </c>
      <c r="B520" t="s">
        <v>6</v>
      </c>
      <c r="C520">
        <f>IF(data!$B520&lt;&gt;data!$B519,1,C519+1)</f>
        <v>3</v>
      </c>
      <c r="D520">
        <v>23.6</v>
      </c>
      <c r="E520" t="s">
        <v>13</v>
      </c>
      <c r="F520" t="s">
        <v>14</v>
      </c>
      <c r="G520">
        <v>50</v>
      </c>
    </row>
    <row r="521" spans="1:7" x14ac:dyDescent="0.2">
      <c r="A521">
        <f t="shared" si="9"/>
        <v>44</v>
      </c>
      <c r="B521" t="s">
        <v>6</v>
      </c>
      <c r="C521">
        <f>IF(data!$B521&lt;&gt;data!$B520,1,C520+1)</f>
        <v>4</v>
      </c>
      <c r="D521">
        <v>22.400000000000002</v>
      </c>
      <c r="E521" t="s">
        <v>13</v>
      </c>
      <c r="F521" t="s">
        <v>14</v>
      </c>
      <c r="G521">
        <v>50</v>
      </c>
    </row>
    <row r="522" spans="1:7" x14ac:dyDescent="0.2">
      <c r="A522">
        <f t="shared" si="9"/>
        <v>44</v>
      </c>
      <c r="B522" t="s">
        <v>6</v>
      </c>
      <c r="C522">
        <f>IF(data!$B522&lt;&gt;data!$B521,1,C521+1)</f>
        <v>5</v>
      </c>
      <c r="D522">
        <v>21.200000000000003</v>
      </c>
      <c r="E522" t="s">
        <v>13</v>
      </c>
      <c r="F522" t="s">
        <v>14</v>
      </c>
      <c r="G522">
        <v>50</v>
      </c>
    </row>
    <row r="523" spans="1:7" x14ac:dyDescent="0.2">
      <c r="A523">
        <f t="shared" si="9"/>
        <v>44</v>
      </c>
      <c r="B523" t="s">
        <v>6</v>
      </c>
      <c r="C523">
        <f>IF(data!$B523&lt;&gt;data!$B522,1,C522+1)</f>
        <v>6</v>
      </c>
      <c r="D523">
        <v>20.000000000000004</v>
      </c>
      <c r="E523" t="s">
        <v>13</v>
      </c>
      <c r="F523" t="s">
        <v>14</v>
      </c>
      <c r="G523">
        <v>50</v>
      </c>
    </row>
    <row r="524" spans="1:7" x14ac:dyDescent="0.2">
      <c r="A524">
        <f t="shared" si="9"/>
        <v>44</v>
      </c>
      <c r="B524" t="s">
        <v>6</v>
      </c>
      <c r="C524">
        <f>IF(data!$B524&lt;&gt;data!$B523,1,C523+1)</f>
        <v>7</v>
      </c>
      <c r="D524">
        <v>18.800000000000004</v>
      </c>
      <c r="E524" t="s">
        <v>13</v>
      </c>
      <c r="F524" t="s">
        <v>14</v>
      </c>
      <c r="G524">
        <v>50</v>
      </c>
    </row>
    <row r="525" spans="1:7" x14ac:dyDescent="0.2">
      <c r="A525">
        <f t="shared" si="9"/>
        <v>44</v>
      </c>
      <c r="B525" t="s">
        <v>6</v>
      </c>
      <c r="C525">
        <f>IF(data!$B525&lt;&gt;data!$B524,1,C524+1)</f>
        <v>8</v>
      </c>
      <c r="D525">
        <v>17.600000000000005</v>
      </c>
      <c r="E525" t="s">
        <v>13</v>
      </c>
      <c r="F525" t="s">
        <v>14</v>
      </c>
      <c r="G525">
        <v>50</v>
      </c>
    </row>
    <row r="526" spans="1:7" x14ac:dyDescent="0.2">
      <c r="A526">
        <f t="shared" si="9"/>
        <v>44</v>
      </c>
      <c r="B526" t="s">
        <v>6</v>
      </c>
      <c r="C526">
        <f>IF(data!$B526&lt;&gt;data!$B525,1,C525+1)</f>
        <v>9</v>
      </c>
      <c r="D526">
        <v>16.400000000000006</v>
      </c>
      <c r="E526" t="s">
        <v>13</v>
      </c>
      <c r="F526" t="s">
        <v>14</v>
      </c>
      <c r="G526">
        <v>50</v>
      </c>
    </row>
    <row r="527" spans="1:7" x14ac:dyDescent="0.2">
      <c r="A527">
        <f t="shared" si="9"/>
        <v>44</v>
      </c>
      <c r="B527" t="s">
        <v>6</v>
      </c>
      <c r="C527">
        <f>IF(data!$B527&lt;&gt;data!$B526,1,C526+1)</f>
        <v>10</v>
      </c>
      <c r="D527">
        <v>15.200000000000006</v>
      </c>
      <c r="E527" t="s">
        <v>13</v>
      </c>
      <c r="F527" t="s">
        <v>14</v>
      </c>
      <c r="G527">
        <v>50</v>
      </c>
    </row>
    <row r="528" spans="1:7" x14ac:dyDescent="0.2">
      <c r="A528">
        <f t="shared" si="9"/>
        <v>44</v>
      </c>
      <c r="B528" t="s">
        <v>6</v>
      </c>
      <c r="C528">
        <f>IF(data!$B528&lt;&gt;data!$B527,1,C527+1)</f>
        <v>11</v>
      </c>
      <c r="D528">
        <v>14.000000000000007</v>
      </c>
      <c r="E528" t="s">
        <v>13</v>
      </c>
      <c r="F528" t="s">
        <v>14</v>
      </c>
      <c r="G528">
        <v>50</v>
      </c>
    </row>
    <row r="529" spans="1:7" x14ac:dyDescent="0.2">
      <c r="A529">
        <f t="shared" si="9"/>
        <v>44</v>
      </c>
      <c r="B529" t="s">
        <v>6</v>
      </c>
      <c r="C529">
        <f>IF(data!$B529&lt;&gt;data!$B528,1,C528+1)</f>
        <v>12</v>
      </c>
      <c r="D529">
        <v>12.800000000000008</v>
      </c>
      <c r="E529" t="s">
        <v>13</v>
      </c>
      <c r="F529" t="s">
        <v>14</v>
      </c>
      <c r="G529">
        <v>50</v>
      </c>
    </row>
    <row r="530" spans="1:7" x14ac:dyDescent="0.2">
      <c r="A530">
        <f t="shared" si="9"/>
        <v>45</v>
      </c>
      <c r="B530" t="s">
        <v>5</v>
      </c>
      <c r="C530">
        <f>IF(data!$B530&lt;&gt;data!$B529,1,C529+1)</f>
        <v>1</v>
      </c>
      <c r="D530">
        <v>23</v>
      </c>
      <c r="E530" t="s">
        <v>7</v>
      </c>
      <c r="F530" t="s">
        <v>12</v>
      </c>
      <c r="G530">
        <v>50</v>
      </c>
    </row>
    <row r="531" spans="1:7" x14ac:dyDescent="0.2">
      <c r="A531">
        <f t="shared" si="9"/>
        <v>45</v>
      </c>
      <c r="B531" t="s">
        <v>5</v>
      </c>
      <c r="C531">
        <f>IF(data!$B531&lt;&gt;data!$B530,1,C530+1)</f>
        <v>2</v>
      </c>
      <c r="D531">
        <v>21.698970004336019</v>
      </c>
      <c r="E531" t="s">
        <v>7</v>
      </c>
      <c r="F531" t="s">
        <v>12</v>
      </c>
      <c r="G531">
        <v>50</v>
      </c>
    </row>
    <row r="532" spans="1:7" x14ac:dyDescent="0.2">
      <c r="A532">
        <f t="shared" si="9"/>
        <v>45</v>
      </c>
      <c r="B532" t="s">
        <v>5</v>
      </c>
      <c r="C532">
        <f>IF(data!$B532&lt;&gt;data!$B531,1,C531+1)</f>
        <v>3</v>
      </c>
      <c r="D532">
        <v>20.522878745280337</v>
      </c>
      <c r="E532" t="s">
        <v>7</v>
      </c>
      <c r="F532" t="s">
        <v>12</v>
      </c>
      <c r="G532">
        <v>50</v>
      </c>
    </row>
    <row r="533" spans="1:7" x14ac:dyDescent="0.2">
      <c r="A533">
        <f t="shared" si="9"/>
        <v>45</v>
      </c>
      <c r="B533" t="s">
        <v>5</v>
      </c>
      <c r="C533">
        <f>IF(data!$B533&lt;&gt;data!$B532,1,C532+1)</f>
        <v>4</v>
      </c>
      <c r="D533">
        <v>19.397940008672037</v>
      </c>
      <c r="E533" t="s">
        <v>7</v>
      </c>
      <c r="F533" t="s">
        <v>12</v>
      </c>
      <c r="G533">
        <v>50</v>
      </c>
    </row>
    <row r="534" spans="1:7" x14ac:dyDescent="0.2">
      <c r="A534">
        <f t="shared" si="9"/>
        <v>45</v>
      </c>
      <c r="B534" t="s">
        <v>5</v>
      </c>
      <c r="C534">
        <f>IF(data!$B534&lt;&gt;data!$B533,1,C533+1)</f>
        <v>5</v>
      </c>
      <c r="D534">
        <v>18.301029995663981</v>
      </c>
      <c r="E534" t="s">
        <v>7</v>
      </c>
      <c r="F534" t="s">
        <v>12</v>
      </c>
      <c r="G534">
        <v>50</v>
      </c>
    </row>
    <row r="535" spans="1:7" x14ac:dyDescent="0.2">
      <c r="A535">
        <f t="shared" si="9"/>
        <v>45</v>
      </c>
      <c r="B535" t="s">
        <v>5</v>
      </c>
      <c r="C535">
        <f>IF(data!$B535&lt;&gt;data!$B534,1,C534+1)</f>
        <v>6</v>
      </c>
      <c r="D535">
        <v>17.221848749616356</v>
      </c>
      <c r="E535" t="s">
        <v>7</v>
      </c>
      <c r="F535" t="s">
        <v>12</v>
      </c>
      <c r="G535">
        <v>50</v>
      </c>
    </row>
    <row r="536" spans="1:7" x14ac:dyDescent="0.2">
      <c r="A536">
        <f t="shared" si="9"/>
        <v>45</v>
      </c>
      <c r="B536" t="s">
        <v>5</v>
      </c>
      <c r="C536">
        <f>IF(data!$B536&lt;&gt;data!$B535,1,C535+1)</f>
        <v>7</v>
      </c>
      <c r="D536">
        <v>16.154901959985743</v>
      </c>
      <c r="E536" t="s">
        <v>7</v>
      </c>
      <c r="F536" t="s">
        <v>12</v>
      </c>
      <c r="G536">
        <v>50</v>
      </c>
    </row>
    <row r="537" spans="1:7" x14ac:dyDescent="0.2">
      <c r="A537">
        <f t="shared" si="9"/>
        <v>45</v>
      </c>
      <c r="B537" t="s">
        <v>5</v>
      </c>
      <c r="C537">
        <f>IF(data!$B537&lt;&gt;data!$B536,1,C536+1)</f>
        <v>8</v>
      </c>
      <c r="D537">
        <v>15.096910013008056</v>
      </c>
      <c r="E537" t="s">
        <v>7</v>
      </c>
      <c r="F537" t="s">
        <v>12</v>
      </c>
      <c r="G537">
        <v>50</v>
      </c>
    </row>
    <row r="538" spans="1:7" x14ac:dyDescent="0.2">
      <c r="A538">
        <f t="shared" si="9"/>
        <v>45</v>
      </c>
      <c r="B538" t="s">
        <v>5</v>
      </c>
      <c r="C538">
        <f>IF(data!$B538&lt;&gt;data!$B537,1,C537+1)</f>
        <v>9</v>
      </c>
      <c r="D538">
        <v>14.045757490560675</v>
      </c>
      <c r="E538" t="s">
        <v>7</v>
      </c>
      <c r="F538" t="s">
        <v>12</v>
      </c>
      <c r="G538">
        <v>50</v>
      </c>
    </row>
    <row r="539" spans="1:7" x14ac:dyDescent="0.2">
      <c r="A539">
        <f t="shared" si="9"/>
        <v>45</v>
      </c>
      <c r="B539" t="s">
        <v>5</v>
      </c>
      <c r="C539">
        <f>IF(data!$B539&lt;&gt;data!$B538,1,C538+1)</f>
        <v>10</v>
      </c>
      <c r="D539">
        <v>13</v>
      </c>
      <c r="E539" t="s">
        <v>7</v>
      </c>
      <c r="F539" t="s">
        <v>12</v>
      </c>
      <c r="G539">
        <v>50</v>
      </c>
    </row>
    <row r="540" spans="1:7" x14ac:dyDescent="0.2">
      <c r="A540">
        <f t="shared" si="9"/>
        <v>45</v>
      </c>
      <c r="B540" t="s">
        <v>5</v>
      </c>
      <c r="C540">
        <f>IF(data!$B540&lt;&gt;data!$B539,1,C539+1)</f>
        <v>11</v>
      </c>
      <c r="D540">
        <v>11.958607314841775</v>
      </c>
      <c r="E540" t="s">
        <v>7</v>
      </c>
      <c r="F540" t="s">
        <v>12</v>
      </c>
      <c r="G540">
        <v>50</v>
      </c>
    </row>
    <row r="541" spans="1:7" x14ac:dyDescent="0.2">
      <c r="A541">
        <f t="shared" si="9"/>
        <v>45</v>
      </c>
      <c r="B541" t="s">
        <v>5</v>
      </c>
      <c r="C541">
        <f>IF(data!$B541&lt;&gt;data!$B540,1,C540+1)</f>
        <v>12</v>
      </c>
      <c r="D541">
        <v>10.920818753952375</v>
      </c>
      <c r="E541" t="s">
        <v>7</v>
      </c>
      <c r="F541" t="s">
        <v>12</v>
      </c>
      <c r="G541">
        <v>50</v>
      </c>
    </row>
    <row r="542" spans="1:7" x14ac:dyDescent="0.2">
      <c r="A542">
        <f t="shared" si="9"/>
        <v>46</v>
      </c>
      <c r="B542" t="s">
        <v>6</v>
      </c>
      <c r="C542">
        <f>IF(data!$B542&lt;&gt;data!$B541,1,C541+1)</f>
        <v>1</v>
      </c>
      <c r="D542">
        <v>25</v>
      </c>
      <c r="E542" t="s">
        <v>7</v>
      </c>
      <c r="F542" t="s">
        <v>12</v>
      </c>
      <c r="G542">
        <v>50</v>
      </c>
    </row>
    <row r="543" spans="1:7" x14ac:dyDescent="0.2">
      <c r="A543">
        <f t="shared" si="9"/>
        <v>46</v>
      </c>
      <c r="B543" t="s">
        <v>6</v>
      </c>
      <c r="C543">
        <f>IF(data!$B543&lt;&gt;data!$B542,1,C542+1)</f>
        <v>2</v>
      </c>
      <c r="D543">
        <v>23.198970004336019</v>
      </c>
      <c r="E543" t="s">
        <v>7</v>
      </c>
      <c r="F543" t="s">
        <v>12</v>
      </c>
      <c r="G543">
        <v>50</v>
      </c>
    </row>
    <row r="544" spans="1:7" x14ac:dyDescent="0.2">
      <c r="A544">
        <f t="shared" si="9"/>
        <v>46</v>
      </c>
      <c r="B544" t="s">
        <v>6</v>
      </c>
      <c r="C544">
        <f>IF(data!$B544&lt;&gt;data!$B543,1,C543+1)</f>
        <v>3</v>
      </c>
      <c r="D544">
        <v>21.522878745280337</v>
      </c>
      <c r="E544" t="s">
        <v>7</v>
      </c>
      <c r="F544" t="s">
        <v>12</v>
      </c>
      <c r="G544">
        <v>50</v>
      </c>
    </row>
    <row r="545" spans="1:7" x14ac:dyDescent="0.2">
      <c r="A545">
        <f t="shared" si="9"/>
        <v>46</v>
      </c>
      <c r="B545" t="s">
        <v>6</v>
      </c>
      <c r="C545">
        <f>IF(data!$B545&lt;&gt;data!$B544,1,C544+1)</f>
        <v>4</v>
      </c>
      <c r="D545">
        <v>19.897940008672037</v>
      </c>
      <c r="E545" t="s">
        <v>7</v>
      </c>
      <c r="F545" t="s">
        <v>12</v>
      </c>
      <c r="G545">
        <v>50</v>
      </c>
    </row>
    <row r="546" spans="1:7" x14ac:dyDescent="0.2">
      <c r="A546">
        <f t="shared" ref="A546:A609" si="10">IF(B546=B545,A545,A545+1)</f>
        <v>46</v>
      </c>
      <c r="B546" t="s">
        <v>6</v>
      </c>
      <c r="C546">
        <f>IF(data!$B546&lt;&gt;data!$B545,1,C545+1)</f>
        <v>5</v>
      </c>
      <c r="D546">
        <v>18.301029995663981</v>
      </c>
      <c r="E546" t="s">
        <v>7</v>
      </c>
      <c r="F546" t="s">
        <v>12</v>
      </c>
      <c r="G546">
        <v>50</v>
      </c>
    </row>
    <row r="547" spans="1:7" x14ac:dyDescent="0.2">
      <c r="A547">
        <f t="shared" si="10"/>
        <v>46</v>
      </c>
      <c r="B547" t="s">
        <v>6</v>
      </c>
      <c r="C547">
        <f>IF(data!$B547&lt;&gt;data!$B546,1,C546+1)</f>
        <v>6</v>
      </c>
      <c r="D547">
        <v>16.721848749616356</v>
      </c>
      <c r="E547" t="s">
        <v>7</v>
      </c>
      <c r="F547" t="s">
        <v>12</v>
      </c>
      <c r="G547">
        <v>50</v>
      </c>
    </row>
    <row r="548" spans="1:7" x14ac:dyDescent="0.2">
      <c r="A548">
        <f t="shared" si="10"/>
        <v>46</v>
      </c>
      <c r="B548" t="s">
        <v>6</v>
      </c>
      <c r="C548">
        <f>IF(data!$B548&lt;&gt;data!$B547,1,C547+1)</f>
        <v>7</v>
      </c>
      <c r="D548">
        <v>15.154901959985743</v>
      </c>
      <c r="E548" t="s">
        <v>7</v>
      </c>
      <c r="F548" t="s">
        <v>12</v>
      </c>
      <c r="G548">
        <v>50</v>
      </c>
    </row>
    <row r="549" spans="1:7" x14ac:dyDescent="0.2">
      <c r="A549">
        <f t="shared" si="10"/>
        <v>46</v>
      </c>
      <c r="B549" t="s">
        <v>6</v>
      </c>
      <c r="C549">
        <f>IF(data!$B549&lt;&gt;data!$B548,1,C548+1)</f>
        <v>8</v>
      </c>
      <c r="D549">
        <v>13.596910013008056</v>
      </c>
      <c r="E549" t="s">
        <v>7</v>
      </c>
      <c r="F549" t="s">
        <v>12</v>
      </c>
      <c r="G549">
        <v>50</v>
      </c>
    </row>
    <row r="550" spans="1:7" x14ac:dyDescent="0.2">
      <c r="A550">
        <f t="shared" si="10"/>
        <v>46</v>
      </c>
      <c r="B550" t="s">
        <v>6</v>
      </c>
      <c r="C550">
        <f>IF(data!$B550&lt;&gt;data!$B549,1,C549+1)</f>
        <v>9</v>
      </c>
      <c r="D550">
        <v>12.045757490560675</v>
      </c>
      <c r="E550" t="s">
        <v>7</v>
      </c>
      <c r="F550" t="s">
        <v>12</v>
      </c>
      <c r="G550">
        <v>50</v>
      </c>
    </row>
    <row r="551" spans="1:7" x14ac:dyDescent="0.2">
      <c r="A551">
        <f t="shared" si="10"/>
        <v>46</v>
      </c>
      <c r="B551" t="s">
        <v>6</v>
      </c>
      <c r="C551">
        <f>IF(data!$B551&lt;&gt;data!$B550,1,C550+1)</f>
        <v>10</v>
      </c>
      <c r="D551">
        <v>10.5</v>
      </c>
      <c r="E551" t="s">
        <v>7</v>
      </c>
      <c r="F551" t="s">
        <v>12</v>
      </c>
      <c r="G551">
        <v>50</v>
      </c>
    </row>
    <row r="552" spans="1:7" x14ac:dyDescent="0.2">
      <c r="A552">
        <f t="shared" si="10"/>
        <v>46</v>
      </c>
      <c r="B552" t="s">
        <v>6</v>
      </c>
      <c r="C552">
        <f>IF(data!$B552&lt;&gt;data!$B551,1,C551+1)</f>
        <v>11</v>
      </c>
      <c r="D552">
        <v>8.9586073148417746</v>
      </c>
      <c r="E552" t="s">
        <v>7</v>
      </c>
      <c r="F552" t="s">
        <v>12</v>
      </c>
      <c r="G552">
        <v>50</v>
      </c>
    </row>
    <row r="553" spans="1:7" x14ac:dyDescent="0.2">
      <c r="A553">
        <f t="shared" si="10"/>
        <v>46</v>
      </c>
      <c r="B553" t="s">
        <v>6</v>
      </c>
      <c r="C553">
        <f>IF(data!$B553&lt;&gt;data!$B552,1,C552+1)</f>
        <v>12</v>
      </c>
      <c r="D553">
        <v>7.4208187539523749</v>
      </c>
      <c r="E553" t="s">
        <v>7</v>
      </c>
      <c r="F553" t="s">
        <v>12</v>
      </c>
      <c r="G553">
        <v>50</v>
      </c>
    </row>
    <row r="554" spans="1:7" x14ac:dyDescent="0.2">
      <c r="A554">
        <f t="shared" si="10"/>
        <v>47</v>
      </c>
      <c r="B554" t="s">
        <v>5</v>
      </c>
      <c r="C554">
        <f>IF(data!$B554&lt;&gt;data!$B553,1,C553+1)</f>
        <v>1</v>
      </c>
      <c r="D554">
        <v>24</v>
      </c>
      <c r="E554" t="s">
        <v>13</v>
      </c>
      <c r="F554" t="s">
        <v>12</v>
      </c>
      <c r="G554">
        <v>50</v>
      </c>
    </row>
    <row r="555" spans="1:7" x14ac:dyDescent="0.2">
      <c r="A555">
        <f t="shared" si="10"/>
        <v>47</v>
      </c>
      <c r="B555" t="s">
        <v>5</v>
      </c>
      <c r="C555">
        <f>IF(data!$B555&lt;&gt;data!$B554,1,C554+1)</f>
        <v>2</v>
      </c>
      <c r="D555">
        <v>23.198970004336019</v>
      </c>
      <c r="E555" t="s">
        <v>13</v>
      </c>
      <c r="F555" t="s">
        <v>12</v>
      </c>
      <c r="G555">
        <v>50</v>
      </c>
    </row>
    <row r="556" spans="1:7" x14ac:dyDescent="0.2">
      <c r="A556">
        <f t="shared" si="10"/>
        <v>47</v>
      </c>
      <c r="B556" t="s">
        <v>5</v>
      </c>
      <c r="C556">
        <f>IF(data!$B556&lt;&gt;data!$B555,1,C555+1)</f>
        <v>3</v>
      </c>
      <c r="D556">
        <v>22.522878745280337</v>
      </c>
      <c r="E556" t="s">
        <v>13</v>
      </c>
      <c r="F556" t="s">
        <v>12</v>
      </c>
      <c r="G556">
        <v>50</v>
      </c>
    </row>
    <row r="557" spans="1:7" x14ac:dyDescent="0.2">
      <c r="A557">
        <f t="shared" si="10"/>
        <v>47</v>
      </c>
      <c r="B557" t="s">
        <v>5</v>
      </c>
      <c r="C557">
        <f>IF(data!$B557&lt;&gt;data!$B556,1,C556+1)</f>
        <v>4</v>
      </c>
      <c r="D557">
        <v>21.897940008672037</v>
      </c>
      <c r="E557" t="s">
        <v>13</v>
      </c>
      <c r="F557" t="s">
        <v>12</v>
      </c>
      <c r="G557">
        <v>50</v>
      </c>
    </row>
    <row r="558" spans="1:7" x14ac:dyDescent="0.2">
      <c r="A558">
        <f t="shared" si="10"/>
        <v>47</v>
      </c>
      <c r="B558" t="s">
        <v>5</v>
      </c>
      <c r="C558">
        <f>IF(data!$B558&lt;&gt;data!$B557,1,C557+1)</f>
        <v>5</v>
      </c>
      <c r="D558">
        <v>21.301029995663981</v>
      </c>
      <c r="E558" t="s">
        <v>13</v>
      </c>
      <c r="F558" t="s">
        <v>12</v>
      </c>
      <c r="G558">
        <v>50</v>
      </c>
    </row>
    <row r="559" spans="1:7" x14ac:dyDescent="0.2">
      <c r="A559">
        <f t="shared" si="10"/>
        <v>47</v>
      </c>
      <c r="B559" t="s">
        <v>5</v>
      </c>
      <c r="C559">
        <f>IF(data!$B559&lt;&gt;data!$B558,1,C558+1)</f>
        <v>6</v>
      </c>
      <c r="D559">
        <v>20.721848749616356</v>
      </c>
      <c r="E559" t="s">
        <v>13</v>
      </c>
      <c r="F559" t="s">
        <v>12</v>
      </c>
      <c r="G559">
        <v>50</v>
      </c>
    </row>
    <row r="560" spans="1:7" x14ac:dyDescent="0.2">
      <c r="A560">
        <f t="shared" si="10"/>
        <v>47</v>
      </c>
      <c r="B560" t="s">
        <v>5</v>
      </c>
      <c r="C560">
        <f>IF(data!$B560&lt;&gt;data!$B559,1,C559+1)</f>
        <v>7</v>
      </c>
      <c r="D560">
        <v>20.154901959985743</v>
      </c>
      <c r="E560" t="s">
        <v>13</v>
      </c>
      <c r="F560" t="s">
        <v>12</v>
      </c>
      <c r="G560">
        <v>50</v>
      </c>
    </row>
    <row r="561" spans="1:7" x14ac:dyDescent="0.2">
      <c r="A561">
        <f t="shared" si="10"/>
        <v>47</v>
      </c>
      <c r="B561" t="s">
        <v>5</v>
      </c>
      <c r="C561">
        <f>IF(data!$B561&lt;&gt;data!$B560,1,C560+1)</f>
        <v>8</v>
      </c>
      <c r="D561">
        <v>19.596910013008056</v>
      </c>
      <c r="E561" t="s">
        <v>13</v>
      </c>
      <c r="F561" t="s">
        <v>12</v>
      </c>
      <c r="G561">
        <v>50</v>
      </c>
    </row>
    <row r="562" spans="1:7" x14ac:dyDescent="0.2">
      <c r="A562">
        <f t="shared" si="10"/>
        <v>47</v>
      </c>
      <c r="B562" t="s">
        <v>5</v>
      </c>
      <c r="C562">
        <f>IF(data!$B562&lt;&gt;data!$B561,1,C561+1)</f>
        <v>9</v>
      </c>
      <c r="D562">
        <v>19.045757490560675</v>
      </c>
      <c r="E562" t="s">
        <v>13</v>
      </c>
      <c r="F562" t="s">
        <v>12</v>
      </c>
      <c r="G562">
        <v>50</v>
      </c>
    </row>
    <row r="563" spans="1:7" x14ac:dyDescent="0.2">
      <c r="A563">
        <f t="shared" si="10"/>
        <v>47</v>
      </c>
      <c r="B563" t="s">
        <v>5</v>
      </c>
      <c r="C563">
        <f>IF(data!$B563&lt;&gt;data!$B562,1,C562+1)</f>
        <v>10</v>
      </c>
      <c r="D563">
        <v>18.5</v>
      </c>
      <c r="E563" t="s">
        <v>13</v>
      </c>
      <c r="F563" t="s">
        <v>12</v>
      </c>
      <c r="G563">
        <v>50</v>
      </c>
    </row>
    <row r="564" spans="1:7" x14ac:dyDescent="0.2">
      <c r="A564">
        <f t="shared" si="10"/>
        <v>47</v>
      </c>
      <c r="B564" t="s">
        <v>5</v>
      </c>
      <c r="C564">
        <f>IF(data!$B564&lt;&gt;data!$B563,1,C563+1)</f>
        <v>11</v>
      </c>
      <c r="D564">
        <v>17.958607314841775</v>
      </c>
      <c r="E564" t="s">
        <v>13</v>
      </c>
      <c r="F564" t="s">
        <v>12</v>
      </c>
      <c r="G564">
        <v>50</v>
      </c>
    </row>
    <row r="565" spans="1:7" x14ac:dyDescent="0.2">
      <c r="A565">
        <f t="shared" si="10"/>
        <v>47</v>
      </c>
      <c r="B565" t="s">
        <v>5</v>
      </c>
      <c r="C565">
        <f>IF(data!$B565&lt;&gt;data!$B564,1,C564+1)</f>
        <v>12</v>
      </c>
      <c r="D565">
        <v>17.420818753952375</v>
      </c>
      <c r="E565" t="s">
        <v>13</v>
      </c>
      <c r="F565" t="s">
        <v>12</v>
      </c>
      <c r="G565">
        <v>50</v>
      </c>
    </row>
    <row r="566" spans="1:7" x14ac:dyDescent="0.2">
      <c r="A566">
        <f t="shared" si="10"/>
        <v>48</v>
      </c>
      <c r="B566" t="s">
        <v>6</v>
      </c>
      <c r="C566">
        <f>IF(data!$B566&lt;&gt;data!$B565,1,C565+1)</f>
        <v>1</v>
      </c>
      <c r="D566">
        <v>26</v>
      </c>
      <c r="E566" t="s">
        <v>13</v>
      </c>
      <c r="F566" t="s">
        <v>12</v>
      </c>
      <c r="G566">
        <v>50</v>
      </c>
    </row>
    <row r="567" spans="1:7" x14ac:dyDescent="0.2">
      <c r="A567">
        <f t="shared" si="10"/>
        <v>48</v>
      </c>
      <c r="B567" t="s">
        <v>6</v>
      </c>
      <c r="C567">
        <f>IF(data!$B567&lt;&gt;data!$B566,1,C566+1)</f>
        <v>2</v>
      </c>
      <c r="D567">
        <v>24.498970004336019</v>
      </c>
      <c r="E567" t="s">
        <v>13</v>
      </c>
      <c r="F567" t="s">
        <v>12</v>
      </c>
      <c r="G567">
        <v>50</v>
      </c>
    </row>
    <row r="568" spans="1:7" x14ac:dyDescent="0.2">
      <c r="A568">
        <f t="shared" si="10"/>
        <v>48</v>
      </c>
      <c r="B568" t="s">
        <v>6</v>
      </c>
      <c r="C568">
        <f>IF(data!$B568&lt;&gt;data!$B567,1,C567+1)</f>
        <v>3</v>
      </c>
      <c r="D568">
        <v>23.122878745280339</v>
      </c>
      <c r="E568" t="s">
        <v>13</v>
      </c>
      <c r="F568" t="s">
        <v>12</v>
      </c>
      <c r="G568">
        <v>50</v>
      </c>
    </row>
    <row r="569" spans="1:7" x14ac:dyDescent="0.2">
      <c r="A569">
        <f t="shared" si="10"/>
        <v>48</v>
      </c>
      <c r="B569" t="s">
        <v>6</v>
      </c>
      <c r="C569">
        <f>IF(data!$B569&lt;&gt;data!$B568,1,C568+1)</f>
        <v>4</v>
      </c>
      <c r="D569">
        <v>21.79794000867204</v>
      </c>
      <c r="E569" t="s">
        <v>13</v>
      </c>
      <c r="F569" t="s">
        <v>12</v>
      </c>
      <c r="G569">
        <v>50</v>
      </c>
    </row>
    <row r="570" spans="1:7" x14ac:dyDescent="0.2">
      <c r="A570">
        <f t="shared" si="10"/>
        <v>48</v>
      </c>
      <c r="B570" t="s">
        <v>6</v>
      </c>
      <c r="C570">
        <f>IF(data!$B570&lt;&gt;data!$B569,1,C569+1)</f>
        <v>5</v>
      </c>
      <c r="D570">
        <v>20.501029995663984</v>
      </c>
      <c r="E570" t="s">
        <v>13</v>
      </c>
      <c r="F570" t="s">
        <v>12</v>
      </c>
      <c r="G570">
        <v>50</v>
      </c>
    </row>
    <row r="571" spans="1:7" x14ac:dyDescent="0.2">
      <c r="A571">
        <f t="shared" si="10"/>
        <v>48</v>
      </c>
      <c r="B571" t="s">
        <v>6</v>
      </c>
      <c r="C571">
        <f>IF(data!$B571&lt;&gt;data!$B570,1,C570+1)</f>
        <v>6</v>
      </c>
      <c r="D571">
        <v>19.22184874961636</v>
      </c>
      <c r="E571" t="s">
        <v>13</v>
      </c>
      <c r="F571" t="s">
        <v>12</v>
      </c>
      <c r="G571">
        <v>50</v>
      </c>
    </row>
    <row r="572" spans="1:7" x14ac:dyDescent="0.2">
      <c r="A572">
        <f t="shared" si="10"/>
        <v>48</v>
      </c>
      <c r="B572" t="s">
        <v>6</v>
      </c>
      <c r="C572">
        <f>IF(data!$B572&lt;&gt;data!$B571,1,C571+1)</f>
        <v>7</v>
      </c>
      <c r="D572">
        <v>17.954901959985747</v>
      </c>
      <c r="E572" t="s">
        <v>13</v>
      </c>
      <c r="F572" t="s">
        <v>12</v>
      </c>
      <c r="G572">
        <v>50</v>
      </c>
    </row>
    <row r="573" spans="1:7" x14ac:dyDescent="0.2">
      <c r="A573">
        <f t="shared" si="10"/>
        <v>48</v>
      </c>
      <c r="B573" t="s">
        <v>6</v>
      </c>
      <c r="C573">
        <f>IF(data!$B573&lt;&gt;data!$B572,1,C572+1)</f>
        <v>8</v>
      </c>
      <c r="D573">
        <v>16.696910013008061</v>
      </c>
      <c r="E573" t="s">
        <v>13</v>
      </c>
      <c r="F573" t="s">
        <v>12</v>
      </c>
      <c r="G573">
        <v>50</v>
      </c>
    </row>
    <row r="574" spans="1:7" x14ac:dyDescent="0.2">
      <c r="A574">
        <f t="shared" si="10"/>
        <v>48</v>
      </c>
      <c r="B574" t="s">
        <v>6</v>
      </c>
      <c r="C574">
        <f>IF(data!$B574&lt;&gt;data!$B573,1,C573+1)</f>
        <v>9</v>
      </c>
      <c r="D574">
        <v>15.44575749056068</v>
      </c>
      <c r="E574" t="s">
        <v>13</v>
      </c>
      <c r="F574" t="s">
        <v>12</v>
      </c>
      <c r="G574">
        <v>50</v>
      </c>
    </row>
    <row r="575" spans="1:7" x14ac:dyDescent="0.2">
      <c r="A575">
        <f t="shared" si="10"/>
        <v>48</v>
      </c>
      <c r="B575" t="s">
        <v>6</v>
      </c>
      <c r="C575">
        <f>IF(data!$B575&lt;&gt;data!$B574,1,C574+1)</f>
        <v>10</v>
      </c>
      <c r="D575">
        <v>14.200000000000006</v>
      </c>
      <c r="E575" t="s">
        <v>13</v>
      </c>
      <c r="F575" t="s">
        <v>12</v>
      </c>
      <c r="G575">
        <v>50</v>
      </c>
    </row>
    <row r="576" spans="1:7" x14ac:dyDescent="0.2">
      <c r="A576">
        <f t="shared" si="10"/>
        <v>48</v>
      </c>
      <c r="B576" t="s">
        <v>6</v>
      </c>
      <c r="C576">
        <f>IF(data!$B576&lt;&gt;data!$B575,1,C575+1)</f>
        <v>11</v>
      </c>
      <c r="D576">
        <v>12.958607314841782</v>
      </c>
      <c r="E576" t="s">
        <v>13</v>
      </c>
      <c r="F576" t="s">
        <v>12</v>
      </c>
      <c r="G576">
        <v>50</v>
      </c>
    </row>
    <row r="577" spans="1:7" x14ac:dyDescent="0.2">
      <c r="A577">
        <f t="shared" si="10"/>
        <v>48</v>
      </c>
      <c r="B577" t="s">
        <v>6</v>
      </c>
      <c r="C577">
        <f>IF(data!$B577&lt;&gt;data!$B576,1,C576+1)</f>
        <v>12</v>
      </c>
      <c r="D577">
        <v>11.720818753952383</v>
      </c>
      <c r="E577" t="s">
        <v>13</v>
      </c>
      <c r="F577" t="s">
        <v>12</v>
      </c>
      <c r="G577">
        <v>50</v>
      </c>
    </row>
    <row r="578" spans="1:7" x14ac:dyDescent="0.2">
      <c r="A578">
        <f t="shared" si="10"/>
        <v>49</v>
      </c>
      <c r="B578" t="s">
        <v>5</v>
      </c>
      <c r="C578">
        <f>IF(data!$B578&lt;&gt;data!$B577,1,C577+1)</f>
        <v>1</v>
      </c>
      <c r="D578">
        <v>21</v>
      </c>
      <c r="E578" t="s">
        <v>7</v>
      </c>
      <c r="F578" t="s">
        <v>14</v>
      </c>
      <c r="G578">
        <v>50</v>
      </c>
    </row>
    <row r="579" spans="1:7" x14ac:dyDescent="0.2">
      <c r="A579">
        <f t="shared" si="10"/>
        <v>49</v>
      </c>
      <c r="B579" t="s">
        <v>5</v>
      </c>
      <c r="C579">
        <f>IF(data!$B579&lt;&gt;data!$B578,1,C578+1)</f>
        <v>2</v>
      </c>
      <c r="D579">
        <v>20</v>
      </c>
      <c r="E579" t="s">
        <v>7</v>
      </c>
      <c r="F579" t="s">
        <v>14</v>
      </c>
      <c r="G579">
        <v>50</v>
      </c>
    </row>
    <row r="580" spans="1:7" x14ac:dyDescent="0.2">
      <c r="A580">
        <f t="shared" si="10"/>
        <v>49</v>
      </c>
      <c r="B580" t="s">
        <v>5</v>
      </c>
      <c r="C580">
        <f>IF(data!$B580&lt;&gt;data!$B579,1,C579+1)</f>
        <v>3</v>
      </c>
      <c r="D580">
        <v>19</v>
      </c>
      <c r="E580" t="s">
        <v>7</v>
      </c>
      <c r="F580" t="s">
        <v>14</v>
      </c>
      <c r="G580">
        <v>50</v>
      </c>
    </row>
    <row r="581" spans="1:7" x14ac:dyDescent="0.2">
      <c r="A581">
        <f t="shared" si="10"/>
        <v>49</v>
      </c>
      <c r="B581" t="s">
        <v>5</v>
      </c>
      <c r="C581">
        <f>IF(data!$B581&lt;&gt;data!$B580,1,C580+1)</f>
        <v>4</v>
      </c>
      <c r="D581">
        <v>18</v>
      </c>
      <c r="E581" t="s">
        <v>7</v>
      </c>
      <c r="F581" t="s">
        <v>14</v>
      </c>
      <c r="G581">
        <v>50</v>
      </c>
    </row>
    <row r="582" spans="1:7" x14ac:dyDescent="0.2">
      <c r="A582">
        <f t="shared" si="10"/>
        <v>49</v>
      </c>
      <c r="B582" t="s">
        <v>5</v>
      </c>
      <c r="C582">
        <f>IF(data!$B582&lt;&gt;data!$B581,1,C581+1)</f>
        <v>5</v>
      </c>
      <c r="D582">
        <v>17</v>
      </c>
      <c r="E582" t="s">
        <v>7</v>
      </c>
      <c r="F582" t="s">
        <v>14</v>
      </c>
      <c r="G582">
        <v>50</v>
      </c>
    </row>
    <row r="583" spans="1:7" x14ac:dyDescent="0.2">
      <c r="A583">
        <f t="shared" si="10"/>
        <v>49</v>
      </c>
      <c r="B583" t="s">
        <v>5</v>
      </c>
      <c r="C583">
        <f>IF(data!$B583&lt;&gt;data!$B582,1,C582+1)</f>
        <v>6</v>
      </c>
      <c r="D583">
        <v>16</v>
      </c>
      <c r="E583" t="s">
        <v>7</v>
      </c>
      <c r="F583" t="s">
        <v>14</v>
      </c>
      <c r="G583">
        <v>50</v>
      </c>
    </row>
    <row r="584" spans="1:7" x14ac:dyDescent="0.2">
      <c r="A584">
        <f t="shared" si="10"/>
        <v>49</v>
      </c>
      <c r="B584" t="s">
        <v>5</v>
      </c>
      <c r="C584">
        <f>IF(data!$B584&lt;&gt;data!$B583,1,C583+1)</f>
        <v>7</v>
      </c>
      <c r="D584">
        <v>15</v>
      </c>
      <c r="E584" t="s">
        <v>7</v>
      </c>
      <c r="F584" t="s">
        <v>14</v>
      </c>
      <c r="G584">
        <v>50</v>
      </c>
    </row>
    <row r="585" spans="1:7" x14ac:dyDescent="0.2">
      <c r="A585">
        <f t="shared" si="10"/>
        <v>49</v>
      </c>
      <c r="B585" t="s">
        <v>5</v>
      </c>
      <c r="C585">
        <f>IF(data!$B585&lt;&gt;data!$B584,1,C584+1)</f>
        <v>8</v>
      </c>
      <c r="D585">
        <v>14</v>
      </c>
      <c r="E585" t="s">
        <v>7</v>
      </c>
      <c r="F585" t="s">
        <v>14</v>
      </c>
      <c r="G585">
        <v>50</v>
      </c>
    </row>
    <row r="586" spans="1:7" x14ac:dyDescent="0.2">
      <c r="A586">
        <f t="shared" si="10"/>
        <v>49</v>
      </c>
      <c r="B586" t="s">
        <v>5</v>
      </c>
      <c r="C586">
        <f>IF(data!$B586&lt;&gt;data!$B585,1,C585+1)</f>
        <v>9</v>
      </c>
      <c r="D586">
        <v>13</v>
      </c>
      <c r="E586" t="s">
        <v>7</v>
      </c>
      <c r="F586" t="s">
        <v>14</v>
      </c>
      <c r="G586">
        <v>50</v>
      </c>
    </row>
    <row r="587" spans="1:7" x14ac:dyDescent="0.2">
      <c r="A587">
        <f t="shared" si="10"/>
        <v>49</v>
      </c>
      <c r="B587" t="s">
        <v>5</v>
      </c>
      <c r="C587">
        <f>IF(data!$B587&lt;&gt;data!$B586,1,C586+1)</f>
        <v>10</v>
      </c>
      <c r="D587">
        <v>12</v>
      </c>
      <c r="E587" t="s">
        <v>7</v>
      </c>
      <c r="F587" t="s">
        <v>14</v>
      </c>
      <c r="G587">
        <v>50</v>
      </c>
    </row>
    <row r="588" spans="1:7" x14ac:dyDescent="0.2">
      <c r="A588">
        <f t="shared" si="10"/>
        <v>49</v>
      </c>
      <c r="B588" t="s">
        <v>5</v>
      </c>
      <c r="C588">
        <f>IF(data!$B588&lt;&gt;data!$B587,1,C587+1)</f>
        <v>11</v>
      </c>
      <c r="D588">
        <v>11</v>
      </c>
      <c r="E588" t="s">
        <v>7</v>
      </c>
      <c r="F588" t="s">
        <v>14</v>
      </c>
      <c r="G588">
        <v>50</v>
      </c>
    </row>
    <row r="589" spans="1:7" x14ac:dyDescent="0.2">
      <c r="A589">
        <f t="shared" si="10"/>
        <v>49</v>
      </c>
      <c r="B589" t="s">
        <v>5</v>
      </c>
      <c r="C589">
        <f>IF(data!$B589&lt;&gt;data!$B588,1,C588+1)</f>
        <v>12</v>
      </c>
      <c r="D589">
        <v>10</v>
      </c>
      <c r="E589" t="s">
        <v>7</v>
      </c>
      <c r="F589" t="s">
        <v>14</v>
      </c>
      <c r="G589">
        <v>50</v>
      </c>
    </row>
    <row r="590" spans="1:7" x14ac:dyDescent="0.2">
      <c r="A590">
        <f t="shared" si="10"/>
        <v>50</v>
      </c>
      <c r="B590" t="s">
        <v>6</v>
      </c>
      <c r="C590">
        <f>IF(data!$B590&lt;&gt;data!$B589,1,C589+1)</f>
        <v>1</v>
      </c>
      <c r="D590">
        <v>23</v>
      </c>
      <c r="E590" t="s">
        <v>7</v>
      </c>
      <c r="F590" t="s">
        <v>14</v>
      </c>
      <c r="G590">
        <v>50</v>
      </c>
    </row>
    <row r="591" spans="1:7" x14ac:dyDescent="0.2">
      <c r="A591">
        <f t="shared" si="10"/>
        <v>50</v>
      </c>
      <c r="B591" t="s">
        <v>6</v>
      </c>
      <c r="C591">
        <f>IF(data!$B591&lt;&gt;data!$B590,1,C590+1)</f>
        <v>2</v>
      </c>
      <c r="D591">
        <v>21.5</v>
      </c>
      <c r="E591" t="s">
        <v>7</v>
      </c>
      <c r="F591" t="s">
        <v>14</v>
      </c>
      <c r="G591">
        <v>50</v>
      </c>
    </row>
    <row r="592" spans="1:7" x14ac:dyDescent="0.2">
      <c r="A592">
        <f t="shared" si="10"/>
        <v>50</v>
      </c>
      <c r="B592" t="s">
        <v>6</v>
      </c>
      <c r="C592">
        <f>IF(data!$B592&lt;&gt;data!$B591,1,C591+1)</f>
        <v>3</v>
      </c>
      <c r="D592">
        <v>20</v>
      </c>
      <c r="E592" t="s">
        <v>7</v>
      </c>
      <c r="F592" t="s">
        <v>14</v>
      </c>
      <c r="G592">
        <v>50</v>
      </c>
    </row>
    <row r="593" spans="1:7" x14ac:dyDescent="0.2">
      <c r="A593">
        <f t="shared" si="10"/>
        <v>50</v>
      </c>
      <c r="B593" t="s">
        <v>6</v>
      </c>
      <c r="C593">
        <f>IF(data!$B593&lt;&gt;data!$B592,1,C592+1)</f>
        <v>4</v>
      </c>
      <c r="D593">
        <v>18.5</v>
      </c>
      <c r="E593" t="s">
        <v>7</v>
      </c>
      <c r="F593" t="s">
        <v>14</v>
      </c>
      <c r="G593">
        <v>50</v>
      </c>
    </row>
    <row r="594" spans="1:7" x14ac:dyDescent="0.2">
      <c r="A594">
        <f t="shared" si="10"/>
        <v>50</v>
      </c>
      <c r="B594" t="s">
        <v>6</v>
      </c>
      <c r="C594">
        <f>IF(data!$B594&lt;&gt;data!$B593,1,C593+1)</f>
        <v>5</v>
      </c>
      <c r="D594">
        <v>17</v>
      </c>
      <c r="E594" t="s">
        <v>7</v>
      </c>
      <c r="F594" t="s">
        <v>14</v>
      </c>
      <c r="G594">
        <v>50</v>
      </c>
    </row>
    <row r="595" spans="1:7" x14ac:dyDescent="0.2">
      <c r="A595">
        <f t="shared" si="10"/>
        <v>50</v>
      </c>
      <c r="B595" t="s">
        <v>6</v>
      </c>
      <c r="C595">
        <f>IF(data!$B595&lt;&gt;data!$B594,1,C594+1)</f>
        <v>6</v>
      </c>
      <c r="D595">
        <v>15.5</v>
      </c>
      <c r="E595" t="s">
        <v>7</v>
      </c>
      <c r="F595" t="s">
        <v>14</v>
      </c>
      <c r="G595">
        <v>50</v>
      </c>
    </row>
    <row r="596" spans="1:7" x14ac:dyDescent="0.2">
      <c r="A596">
        <f t="shared" si="10"/>
        <v>50</v>
      </c>
      <c r="B596" t="s">
        <v>6</v>
      </c>
      <c r="C596">
        <f>IF(data!$B596&lt;&gt;data!$B595,1,C595+1)</f>
        <v>7</v>
      </c>
      <c r="D596">
        <v>14</v>
      </c>
      <c r="E596" t="s">
        <v>7</v>
      </c>
      <c r="F596" t="s">
        <v>14</v>
      </c>
      <c r="G596">
        <v>50</v>
      </c>
    </row>
    <row r="597" spans="1:7" x14ac:dyDescent="0.2">
      <c r="A597">
        <f t="shared" si="10"/>
        <v>50</v>
      </c>
      <c r="B597" t="s">
        <v>6</v>
      </c>
      <c r="C597">
        <f>IF(data!$B597&lt;&gt;data!$B596,1,C596+1)</f>
        <v>8</v>
      </c>
      <c r="D597">
        <v>12.5</v>
      </c>
      <c r="E597" t="s">
        <v>7</v>
      </c>
      <c r="F597" t="s">
        <v>14</v>
      </c>
      <c r="G597">
        <v>50</v>
      </c>
    </row>
    <row r="598" spans="1:7" x14ac:dyDescent="0.2">
      <c r="A598">
        <f t="shared" si="10"/>
        <v>50</v>
      </c>
      <c r="B598" t="s">
        <v>6</v>
      </c>
      <c r="C598">
        <f>IF(data!$B598&lt;&gt;data!$B597,1,C597+1)</f>
        <v>9</v>
      </c>
      <c r="D598">
        <v>11</v>
      </c>
      <c r="E598" t="s">
        <v>7</v>
      </c>
      <c r="F598" t="s">
        <v>14</v>
      </c>
      <c r="G598">
        <v>50</v>
      </c>
    </row>
    <row r="599" spans="1:7" x14ac:dyDescent="0.2">
      <c r="A599">
        <f t="shared" si="10"/>
        <v>50</v>
      </c>
      <c r="B599" t="s">
        <v>6</v>
      </c>
      <c r="C599">
        <f>IF(data!$B599&lt;&gt;data!$B598,1,C598+1)</f>
        <v>10</v>
      </c>
      <c r="D599">
        <v>9.5</v>
      </c>
      <c r="E599" t="s">
        <v>7</v>
      </c>
      <c r="F599" t="s">
        <v>14</v>
      </c>
      <c r="G599">
        <v>50</v>
      </c>
    </row>
    <row r="600" spans="1:7" x14ac:dyDescent="0.2">
      <c r="A600">
        <f t="shared" si="10"/>
        <v>50</v>
      </c>
      <c r="B600" t="s">
        <v>6</v>
      </c>
      <c r="C600">
        <f>IF(data!$B600&lt;&gt;data!$B599,1,C599+1)</f>
        <v>11</v>
      </c>
      <c r="D600">
        <v>8</v>
      </c>
      <c r="E600" t="s">
        <v>7</v>
      </c>
      <c r="F600" t="s">
        <v>14</v>
      </c>
      <c r="G600">
        <v>50</v>
      </c>
    </row>
    <row r="601" spans="1:7" x14ac:dyDescent="0.2">
      <c r="A601">
        <f t="shared" si="10"/>
        <v>50</v>
      </c>
      <c r="B601" t="s">
        <v>6</v>
      </c>
      <c r="C601">
        <f>IF(data!$B601&lt;&gt;data!$B600,1,C600+1)</f>
        <v>12</v>
      </c>
      <c r="D601">
        <v>6.5</v>
      </c>
      <c r="E601" t="s">
        <v>7</v>
      </c>
      <c r="F601" t="s">
        <v>14</v>
      </c>
      <c r="G601">
        <v>50</v>
      </c>
    </row>
    <row r="602" spans="1:7" x14ac:dyDescent="0.2">
      <c r="A602">
        <f t="shared" si="10"/>
        <v>51</v>
      </c>
      <c r="B602" t="s">
        <v>5</v>
      </c>
      <c r="C602">
        <f>IF(data!$B602&lt;&gt;data!$B601,1,C601+1)</f>
        <v>1</v>
      </c>
      <c r="D602">
        <v>22</v>
      </c>
      <c r="E602" t="s">
        <v>13</v>
      </c>
      <c r="F602" t="s">
        <v>14</v>
      </c>
      <c r="G602">
        <v>50</v>
      </c>
    </row>
    <row r="603" spans="1:7" x14ac:dyDescent="0.2">
      <c r="A603">
        <f t="shared" si="10"/>
        <v>51</v>
      </c>
      <c r="B603" t="s">
        <v>5</v>
      </c>
      <c r="C603">
        <f>IF(data!$B603&lt;&gt;data!$B602,1,C602+1)</f>
        <v>2</v>
      </c>
      <c r="D603">
        <v>21.5</v>
      </c>
      <c r="E603" t="s">
        <v>13</v>
      </c>
      <c r="F603" t="s">
        <v>14</v>
      </c>
      <c r="G603">
        <v>50</v>
      </c>
    </row>
    <row r="604" spans="1:7" x14ac:dyDescent="0.2">
      <c r="A604">
        <f t="shared" si="10"/>
        <v>51</v>
      </c>
      <c r="B604" t="s">
        <v>5</v>
      </c>
      <c r="C604">
        <f>IF(data!$B604&lt;&gt;data!$B603,1,C603+1)</f>
        <v>3</v>
      </c>
      <c r="D604">
        <v>21</v>
      </c>
      <c r="E604" t="s">
        <v>13</v>
      </c>
      <c r="F604" t="s">
        <v>14</v>
      </c>
      <c r="G604">
        <v>50</v>
      </c>
    </row>
    <row r="605" spans="1:7" x14ac:dyDescent="0.2">
      <c r="A605">
        <f t="shared" si="10"/>
        <v>51</v>
      </c>
      <c r="B605" t="s">
        <v>5</v>
      </c>
      <c r="C605">
        <f>IF(data!$B605&lt;&gt;data!$B604,1,C604+1)</f>
        <v>4</v>
      </c>
      <c r="D605">
        <v>20.5</v>
      </c>
      <c r="E605" t="s">
        <v>13</v>
      </c>
      <c r="F605" t="s">
        <v>14</v>
      </c>
      <c r="G605">
        <v>50</v>
      </c>
    </row>
    <row r="606" spans="1:7" x14ac:dyDescent="0.2">
      <c r="A606">
        <f t="shared" si="10"/>
        <v>51</v>
      </c>
      <c r="B606" t="s">
        <v>5</v>
      </c>
      <c r="C606">
        <f>IF(data!$B606&lt;&gt;data!$B605,1,C605+1)</f>
        <v>5</v>
      </c>
      <c r="D606">
        <v>20</v>
      </c>
      <c r="E606" t="s">
        <v>13</v>
      </c>
      <c r="F606" t="s">
        <v>14</v>
      </c>
      <c r="G606">
        <v>50</v>
      </c>
    </row>
    <row r="607" spans="1:7" x14ac:dyDescent="0.2">
      <c r="A607">
        <f t="shared" si="10"/>
        <v>51</v>
      </c>
      <c r="B607" t="s">
        <v>5</v>
      </c>
      <c r="C607">
        <f>IF(data!$B607&lt;&gt;data!$B606,1,C606+1)</f>
        <v>6</v>
      </c>
      <c r="D607">
        <v>19.5</v>
      </c>
      <c r="E607" t="s">
        <v>13</v>
      </c>
      <c r="F607" t="s">
        <v>14</v>
      </c>
      <c r="G607">
        <v>50</v>
      </c>
    </row>
    <row r="608" spans="1:7" x14ac:dyDescent="0.2">
      <c r="A608">
        <f t="shared" si="10"/>
        <v>51</v>
      </c>
      <c r="B608" t="s">
        <v>5</v>
      </c>
      <c r="C608">
        <f>IF(data!$B608&lt;&gt;data!$B607,1,C607+1)</f>
        <v>7</v>
      </c>
      <c r="D608">
        <v>19</v>
      </c>
      <c r="E608" t="s">
        <v>13</v>
      </c>
      <c r="F608" t="s">
        <v>14</v>
      </c>
      <c r="G608">
        <v>50</v>
      </c>
    </row>
    <row r="609" spans="1:7" x14ac:dyDescent="0.2">
      <c r="A609">
        <f t="shared" si="10"/>
        <v>51</v>
      </c>
      <c r="B609" t="s">
        <v>5</v>
      </c>
      <c r="C609">
        <f>IF(data!$B609&lt;&gt;data!$B608,1,C608+1)</f>
        <v>8</v>
      </c>
      <c r="D609">
        <v>18.5</v>
      </c>
      <c r="E609" t="s">
        <v>13</v>
      </c>
      <c r="F609" t="s">
        <v>14</v>
      </c>
      <c r="G609">
        <v>50</v>
      </c>
    </row>
    <row r="610" spans="1:7" x14ac:dyDescent="0.2">
      <c r="A610">
        <f t="shared" ref="A610:A673" si="11">IF(B610=B609,A609,A609+1)</f>
        <v>51</v>
      </c>
      <c r="B610" t="s">
        <v>5</v>
      </c>
      <c r="C610">
        <f>IF(data!$B610&lt;&gt;data!$B609,1,C609+1)</f>
        <v>9</v>
      </c>
      <c r="D610">
        <v>18</v>
      </c>
      <c r="E610" t="s">
        <v>13</v>
      </c>
      <c r="F610" t="s">
        <v>14</v>
      </c>
      <c r="G610">
        <v>50</v>
      </c>
    </row>
    <row r="611" spans="1:7" x14ac:dyDescent="0.2">
      <c r="A611">
        <f t="shared" si="11"/>
        <v>51</v>
      </c>
      <c r="B611" t="s">
        <v>5</v>
      </c>
      <c r="C611">
        <f>IF(data!$B611&lt;&gt;data!$B610,1,C610+1)</f>
        <v>10</v>
      </c>
      <c r="D611">
        <v>17.5</v>
      </c>
      <c r="E611" t="s">
        <v>13</v>
      </c>
      <c r="F611" t="s">
        <v>14</v>
      </c>
      <c r="G611">
        <v>50</v>
      </c>
    </row>
    <row r="612" spans="1:7" x14ac:dyDescent="0.2">
      <c r="A612">
        <f t="shared" si="11"/>
        <v>51</v>
      </c>
      <c r="B612" t="s">
        <v>5</v>
      </c>
      <c r="C612">
        <f>IF(data!$B612&lt;&gt;data!$B611,1,C611+1)</f>
        <v>11</v>
      </c>
      <c r="D612">
        <v>17</v>
      </c>
      <c r="E612" t="s">
        <v>13</v>
      </c>
      <c r="F612" t="s">
        <v>14</v>
      </c>
      <c r="G612">
        <v>50</v>
      </c>
    </row>
    <row r="613" spans="1:7" x14ac:dyDescent="0.2">
      <c r="A613">
        <f t="shared" si="11"/>
        <v>51</v>
      </c>
      <c r="B613" t="s">
        <v>5</v>
      </c>
      <c r="C613">
        <f>IF(data!$B613&lt;&gt;data!$B612,1,C612+1)</f>
        <v>12</v>
      </c>
      <c r="D613">
        <v>16.5</v>
      </c>
      <c r="E613" t="s">
        <v>13</v>
      </c>
      <c r="F613" t="s">
        <v>14</v>
      </c>
      <c r="G613">
        <v>50</v>
      </c>
    </row>
    <row r="614" spans="1:7" x14ac:dyDescent="0.2">
      <c r="A614">
        <f t="shared" si="11"/>
        <v>52</v>
      </c>
      <c r="B614" t="s">
        <v>6</v>
      </c>
      <c r="C614">
        <f>IF(data!$B614&lt;&gt;data!$B613,1,C613+1)</f>
        <v>1</v>
      </c>
      <c r="D614">
        <v>24</v>
      </c>
      <c r="E614" t="s">
        <v>13</v>
      </c>
      <c r="F614" t="s">
        <v>14</v>
      </c>
      <c r="G614">
        <v>50</v>
      </c>
    </row>
    <row r="615" spans="1:7" x14ac:dyDescent="0.2">
      <c r="A615">
        <f t="shared" si="11"/>
        <v>52</v>
      </c>
      <c r="B615" t="s">
        <v>6</v>
      </c>
      <c r="C615">
        <f>IF(data!$B615&lt;&gt;data!$B614,1,C614+1)</f>
        <v>2</v>
      </c>
      <c r="D615">
        <v>22.8</v>
      </c>
      <c r="E615" t="s">
        <v>13</v>
      </c>
      <c r="F615" t="s">
        <v>14</v>
      </c>
      <c r="G615">
        <v>50</v>
      </c>
    </row>
    <row r="616" spans="1:7" x14ac:dyDescent="0.2">
      <c r="A616">
        <f t="shared" si="11"/>
        <v>52</v>
      </c>
      <c r="B616" t="s">
        <v>6</v>
      </c>
      <c r="C616">
        <f>IF(data!$B616&lt;&gt;data!$B615,1,C615+1)</f>
        <v>3</v>
      </c>
      <c r="D616">
        <v>21.6</v>
      </c>
      <c r="E616" t="s">
        <v>13</v>
      </c>
      <c r="F616" t="s">
        <v>14</v>
      </c>
      <c r="G616">
        <v>50</v>
      </c>
    </row>
    <row r="617" spans="1:7" x14ac:dyDescent="0.2">
      <c r="A617">
        <f t="shared" si="11"/>
        <v>52</v>
      </c>
      <c r="B617" t="s">
        <v>6</v>
      </c>
      <c r="C617">
        <f>IF(data!$B617&lt;&gt;data!$B616,1,C616+1)</f>
        <v>4</v>
      </c>
      <c r="D617">
        <v>20.400000000000002</v>
      </c>
      <c r="E617" t="s">
        <v>13</v>
      </c>
      <c r="F617" t="s">
        <v>14</v>
      </c>
      <c r="G617">
        <v>50</v>
      </c>
    </row>
    <row r="618" spans="1:7" x14ac:dyDescent="0.2">
      <c r="A618">
        <f t="shared" si="11"/>
        <v>52</v>
      </c>
      <c r="B618" t="s">
        <v>6</v>
      </c>
      <c r="C618">
        <f>IF(data!$B618&lt;&gt;data!$B617,1,C617+1)</f>
        <v>5</v>
      </c>
      <c r="D618">
        <v>19.200000000000003</v>
      </c>
      <c r="E618" t="s">
        <v>13</v>
      </c>
      <c r="F618" t="s">
        <v>14</v>
      </c>
      <c r="G618">
        <v>50</v>
      </c>
    </row>
    <row r="619" spans="1:7" x14ac:dyDescent="0.2">
      <c r="A619">
        <f t="shared" si="11"/>
        <v>52</v>
      </c>
      <c r="B619" t="s">
        <v>6</v>
      </c>
      <c r="C619">
        <f>IF(data!$B619&lt;&gt;data!$B618,1,C618+1)</f>
        <v>6</v>
      </c>
      <c r="D619">
        <v>18.000000000000004</v>
      </c>
      <c r="E619" t="s">
        <v>13</v>
      </c>
      <c r="F619" t="s">
        <v>14</v>
      </c>
      <c r="G619">
        <v>50</v>
      </c>
    </row>
    <row r="620" spans="1:7" x14ac:dyDescent="0.2">
      <c r="A620">
        <f t="shared" si="11"/>
        <v>52</v>
      </c>
      <c r="B620" t="s">
        <v>6</v>
      </c>
      <c r="C620">
        <f>IF(data!$B620&lt;&gt;data!$B619,1,C619+1)</f>
        <v>7</v>
      </c>
      <c r="D620">
        <v>16.800000000000004</v>
      </c>
      <c r="E620" t="s">
        <v>13</v>
      </c>
      <c r="F620" t="s">
        <v>14</v>
      </c>
      <c r="G620">
        <v>50</v>
      </c>
    </row>
    <row r="621" spans="1:7" x14ac:dyDescent="0.2">
      <c r="A621">
        <f t="shared" si="11"/>
        <v>52</v>
      </c>
      <c r="B621" t="s">
        <v>6</v>
      </c>
      <c r="C621">
        <f>IF(data!$B621&lt;&gt;data!$B620,1,C620+1)</f>
        <v>8</v>
      </c>
      <c r="D621">
        <v>15.600000000000005</v>
      </c>
      <c r="E621" t="s">
        <v>13</v>
      </c>
      <c r="F621" t="s">
        <v>14</v>
      </c>
      <c r="G621">
        <v>50</v>
      </c>
    </row>
    <row r="622" spans="1:7" x14ac:dyDescent="0.2">
      <c r="A622">
        <f t="shared" si="11"/>
        <v>52</v>
      </c>
      <c r="B622" t="s">
        <v>6</v>
      </c>
      <c r="C622">
        <f>IF(data!$B622&lt;&gt;data!$B621,1,C621+1)</f>
        <v>9</v>
      </c>
      <c r="D622">
        <v>14.400000000000006</v>
      </c>
      <c r="E622" t="s">
        <v>13</v>
      </c>
      <c r="F622" t="s">
        <v>14</v>
      </c>
      <c r="G622">
        <v>50</v>
      </c>
    </row>
    <row r="623" spans="1:7" x14ac:dyDescent="0.2">
      <c r="A623">
        <f t="shared" si="11"/>
        <v>52</v>
      </c>
      <c r="B623" t="s">
        <v>6</v>
      </c>
      <c r="C623">
        <f>IF(data!$B623&lt;&gt;data!$B622,1,C622+1)</f>
        <v>10</v>
      </c>
      <c r="D623">
        <v>13.200000000000006</v>
      </c>
      <c r="E623" t="s">
        <v>13</v>
      </c>
      <c r="F623" t="s">
        <v>14</v>
      </c>
      <c r="G623">
        <v>50</v>
      </c>
    </row>
    <row r="624" spans="1:7" x14ac:dyDescent="0.2">
      <c r="A624">
        <f t="shared" si="11"/>
        <v>52</v>
      </c>
      <c r="B624" t="s">
        <v>6</v>
      </c>
      <c r="C624">
        <f>IF(data!$B624&lt;&gt;data!$B623,1,C623+1)</f>
        <v>11</v>
      </c>
      <c r="D624">
        <v>12.000000000000007</v>
      </c>
      <c r="E624" t="s">
        <v>13</v>
      </c>
      <c r="F624" t="s">
        <v>14</v>
      </c>
      <c r="G624">
        <v>50</v>
      </c>
    </row>
    <row r="625" spans="1:7" x14ac:dyDescent="0.2">
      <c r="A625">
        <f t="shared" si="11"/>
        <v>52</v>
      </c>
      <c r="B625" t="s">
        <v>6</v>
      </c>
      <c r="C625">
        <f>IF(data!$B625&lt;&gt;data!$B624,1,C624+1)</f>
        <v>12</v>
      </c>
      <c r="D625">
        <v>10.800000000000008</v>
      </c>
      <c r="E625" t="s">
        <v>13</v>
      </c>
      <c r="F625" t="s">
        <v>14</v>
      </c>
      <c r="G625">
        <v>50</v>
      </c>
    </row>
    <row r="626" spans="1:7" x14ac:dyDescent="0.2">
      <c r="A626">
        <f t="shared" si="11"/>
        <v>53</v>
      </c>
      <c r="B626" t="s">
        <v>5</v>
      </c>
      <c r="C626">
        <f>IF(data!$B626&lt;&gt;data!$B625,1,C625+1)</f>
        <v>1</v>
      </c>
      <c r="D626">
        <v>21</v>
      </c>
      <c r="E626" t="s">
        <v>7</v>
      </c>
      <c r="F626" t="s">
        <v>12</v>
      </c>
      <c r="G626">
        <v>50</v>
      </c>
    </row>
    <row r="627" spans="1:7" x14ac:dyDescent="0.2">
      <c r="A627">
        <f t="shared" si="11"/>
        <v>53</v>
      </c>
      <c r="B627" t="s">
        <v>5</v>
      </c>
      <c r="C627">
        <f>IF(data!$B627&lt;&gt;data!$B626,1,C626+1)</f>
        <v>2</v>
      </c>
      <c r="D627">
        <v>19.698970004336019</v>
      </c>
      <c r="E627" t="s">
        <v>7</v>
      </c>
      <c r="F627" t="s">
        <v>12</v>
      </c>
      <c r="G627">
        <v>50</v>
      </c>
    </row>
    <row r="628" spans="1:7" x14ac:dyDescent="0.2">
      <c r="A628">
        <f t="shared" si="11"/>
        <v>53</v>
      </c>
      <c r="B628" t="s">
        <v>5</v>
      </c>
      <c r="C628">
        <f>IF(data!$B628&lt;&gt;data!$B627,1,C627+1)</f>
        <v>3</v>
      </c>
      <c r="D628">
        <v>18.522878745280337</v>
      </c>
      <c r="E628" t="s">
        <v>7</v>
      </c>
      <c r="F628" t="s">
        <v>12</v>
      </c>
      <c r="G628">
        <v>50</v>
      </c>
    </row>
    <row r="629" spans="1:7" x14ac:dyDescent="0.2">
      <c r="A629">
        <f t="shared" si="11"/>
        <v>53</v>
      </c>
      <c r="B629" t="s">
        <v>5</v>
      </c>
      <c r="C629">
        <f>IF(data!$B629&lt;&gt;data!$B628,1,C628+1)</f>
        <v>4</v>
      </c>
      <c r="D629">
        <v>17.397940008672037</v>
      </c>
      <c r="E629" t="s">
        <v>7</v>
      </c>
      <c r="F629" t="s">
        <v>12</v>
      </c>
      <c r="G629">
        <v>50</v>
      </c>
    </row>
    <row r="630" spans="1:7" x14ac:dyDescent="0.2">
      <c r="A630">
        <f t="shared" si="11"/>
        <v>53</v>
      </c>
      <c r="B630" t="s">
        <v>5</v>
      </c>
      <c r="C630">
        <f>IF(data!$B630&lt;&gt;data!$B629,1,C629+1)</f>
        <v>5</v>
      </c>
      <c r="D630">
        <v>16.301029995663981</v>
      </c>
      <c r="E630" t="s">
        <v>7</v>
      </c>
      <c r="F630" t="s">
        <v>12</v>
      </c>
      <c r="G630">
        <v>50</v>
      </c>
    </row>
    <row r="631" spans="1:7" x14ac:dyDescent="0.2">
      <c r="A631">
        <f t="shared" si="11"/>
        <v>53</v>
      </c>
      <c r="B631" t="s">
        <v>5</v>
      </c>
      <c r="C631">
        <f>IF(data!$B631&lt;&gt;data!$B630,1,C630+1)</f>
        <v>6</v>
      </c>
      <c r="D631">
        <v>15.221848749616356</v>
      </c>
      <c r="E631" t="s">
        <v>7</v>
      </c>
      <c r="F631" t="s">
        <v>12</v>
      </c>
      <c r="G631">
        <v>50</v>
      </c>
    </row>
    <row r="632" spans="1:7" x14ac:dyDescent="0.2">
      <c r="A632">
        <f t="shared" si="11"/>
        <v>53</v>
      </c>
      <c r="B632" t="s">
        <v>5</v>
      </c>
      <c r="C632">
        <f>IF(data!$B632&lt;&gt;data!$B631,1,C631+1)</f>
        <v>7</v>
      </c>
      <c r="D632">
        <v>14.154901959985743</v>
      </c>
      <c r="E632" t="s">
        <v>7</v>
      </c>
      <c r="F632" t="s">
        <v>12</v>
      </c>
      <c r="G632">
        <v>50</v>
      </c>
    </row>
    <row r="633" spans="1:7" x14ac:dyDescent="0.2">
      <c r="A633">
        <f t="shared" si="11"/>
        <v>53</v>
      </c>
      <c r="B633" t="s">
        <v>5</v>
      </c>
      <c r="C633">
        <f>IF(data!$B633&lt;&gt;data!$B632,1,C632+1)</f>
        <v>8</v>
      </c>
      <c r="D633">
        <v>13.096910013008056</v>
      </c>
      <c r="E633" t="s">
        <v>7</v>
      </c>
      <c r="F633" t="s">
        <v>12</v>
      </c>
      <c r="G633">
        <v>50</v>
      </c>
    </row>
    <row r="634" spans="1:7" x14ac:dyDescent="0.2">
      <c r="A634">
        <f t="shared" si="11"/>
        <v>53</v>
      </c>
      <c r="B634" t="s">
        <v>5</v>
      </c>
      <c r="C634">
        <f>IF(data!$B634&lt;&gt;data!$B633,1,C633+1)</f>
        <v>9</v>
      </c>
      <c r="D634">
        <v>12.045757490560675</v>
      </c>
      <c r="E634" t="s">
        <v>7</v>
      </c>
      <c r="F634" t="s">
        <v>12</v>
      </c>
      <c r="G634">
        <v>50</v>
      </c>
    </row>
    <row r="635" spans="1:7" x14ac:dyDescent="0.2">
      <c r="A635">
        <f t="shared" si="11"/>
        <v>53</v>
      </c>
      <c r="B635" t="s">
        <v>5</v>
      </c>
      <c r="C635">
        <f>IF(data!$B635&lt;&gt;data!$B634,1,C634+1)</f>
        <v>10</v>
      </c>
      <c r="D635">
        <v>11</v>
      </c>
      <c r="E635" t="s">
        <v>7</v>
      </c>
      <c r="F635" t="s">
        <v>12</v>
      </c>
      <c r="G635">
        <v>50</v>
      </c>
    </row>
    <row r="636" spans="1:7" x14ac:dyDescent="0.2">
      <c r="A636">
        <f t="shared" si="11"/>
        <v>53</v>
      </c>
      <c r="B636" t="s">
        <v>5</v>
      </c>
      <c r="C636">
        <f>IF(data!$B636&lt;&gt;data!$B635,1,C635+1)</f>
        <v>11</v>
      </c>
      <c r="D636">
        <v>9.9586073148417746</v>
      </c>
      <c r="E636" t="s">
        <v>7</v>
      </c>
      <c r="F636" t="s">
        <v>12</v>
      </c>
      <c r="G636">
        <v>50</v>
      </c>
    </row>
    <row r="637" spans="1:7" x14ac:dyDescent="0.2">
      <c r="A637">
        <f t="shared" si="11"/>
        <v>53</v>
      </c>
      <c r="B637" t="s">
        <v>5</v>
      </c>
      <c r="C637">
        <f>IF(data!$B637&lt;&gt;data!$B636,1,C636+1)</f>
        <v>12</v>
      </c>
      <c r="D637">
        <v>8.9208187539523749</v>
      </c>
      <c r="E637" t="s">
        <v>7</v>
      </c>
      <c r="F637" t="s">
        <v>12</v>
      </c>
      <c r="G637">
        <v>50</v>
      </c>
    </row>
    <row r="638" spans="1:7" x14ac:dyDescent="0.2">
      <c r="A638">
        <f t="shared" si="11"/>
        <v>54</v>
      </c>
      <c r="B638" t="s">
        <v>6</v>
      </c>
      <c r="C638">
        <f>IF(data!$B638&lt;&gt;data!$B637,1,C637+1)</f>
        <v>1</v>
      </c>
      <c r="D638">
        <v>23</v>
      </c>
      <c r="E638" t="s">
        <v>7</v>
      </c>
      <c r="F638" t="s">
        <v>12</v>
      </c>
      <c r="G638">
        <v>50</v>
      </c>
    </row>
    <row r="639" spans="1:7" x14ac:dyDescent="0.2">
      <c r="A639">
        <f t="shared" si="11"/>
        <v>54</v>
      </c>
      <c r="B639" t="s">
        <v>6</v>
      </c>
      <c r="C639">
        <f>IF(data!$B639&lt;&gt;data!$B638,1,C638+1)</f>
        <v>2</v>
      </c>
      <c r="D639">
        <v>21.198970004336019</v>
      </c>
      <c r="E639" t="s">
        <v>7</v>
      </c>
      <c r="F639" t="s">
        <v>12</v>
      </c>
      <c r="G639">
        <v>50</v>
      </c>
    </row>
    <row r="640" spans="1:7" x14ac:dyDescent="0.2">
      <c r="A640">
        <f t="shared" si="11"/>
        <v>54</v>
      </c>
      <c r="B640" t="s">
        <v>6</v>
      </c>
      <c r="C640">
        <f>IF(data!$B640&lt;&gt;data!$B639,1,C639+1)</f>
        <v>3</v>
      </c>
      <c r="D640">
        <v>19.522878745280337</v>
      </c>
      <c r="E640" t="s">
        <v>7</v>
      </c>
      <c r="F640" t="s">
        <v>12</v>
      </c>
      <c r="G640">
        <v>50</v>
      </c>
    </row>
    <row r="641" spans="1:7" x14ac:dyDescent="0.2">
      <c r="A641">
        <f t="shared" si="11"/>
        <v>54</v>
      </c>
      <c r="B641" t="s">
        <v>6</v>
      </c>
      <c r="C641">
        <f>IF(data!$B641&lt;&gt;data!$B640,1,C640+1)</f>
        <v>4</v>
      </c>
      <c r="D641">
        <v>17.897940008672037</v>
      </c>
      <c r="E641" t="s">
        <v>7</v>
      </c>
      <c r="F641" t="s">
        <v>12</v>
      </c>
      <c r="G641">
        <v>50</v>
      </c>
    </row>
    <row r="642" spans="1:7" x14ac:dyDescent="0.2">
      <c r="A642">
        <f t="shared" si="11"/>
        <v>54</v>
      </c>
      <c r="B642" t="s">
        <v>6</v>
      </c>
      <c r="C642">
        <f>IF(data!$B642&lt;&gt;data!$B641,1,C641+1)</f>
        <v>5</v>
      </c>
      <c r="D642">
        <v>16.301029995663981</v>
      </c>
      <c r="E642" t="s">
        <v>7</v>
      </c>
      <c r="F642" t="s">
        <v>12</v>
      </c>
      <c r="G642">
        <v>50</v>
      </c>
    </row>
    <row r="643" spans="1:7" x14ac:dyDescent="0.2">
      <c r="A643">
        <f t="shared" si="11"/>
        <v>54</v>
      </c>
      <c r="B643" t="s">
        <v>6</v>
      </c>
      <c r="C643">
        <f>IF(data!$B643&lt;&gt;data!$B642,1,C642+1)</f>
        <v>6</v>
      </c>
      <c r="D643">
        <v>14.721848749616356</v>
      </c>
      <c r="E643" t="s">
        <v>7</v>
      </c>
      <c r="F643" t="s">
        <v>12</v>
      </c>
      <c r="G643">
        <v>50</v>
      </c>
    </row>
    <row r="644" spans="1:7" x14ac:dyDescent="0.2">
      <c r="A644">
        <f t="shared" si="11"/>
        <v>54</v>
      </c>
      <c r="B644" t="s">
        <v>6</v>
      </c>
      <c r="C644">
        <f>IF(data!$B644&lt;&gt;data!$B643,1,C643+1)</f>
        <v>7</v>
      </c>
      <c r="D644">
        <v>13.154901959985743</v>
      </c>
      <c r="E644" t="s">
        <v>7</v>
      </c>
      <c r="F644" t="s">
        <v>12</v>
      </c>
      <c r="G644">
        <v>50</v>
      </c>
    </row>
    <row r="645" spans="1:7" x14ac:dyDescent="0.2">
      <c r="A645">
        <f t="shared" si="11"/>
        <v>54</v>
      </c>
      <c r="B645" t="s">
        <v>6</v>
      </c>
      <c r="C645">
        <f>IF(data!$B645&lt;&gt;data!$B644,1,C644+1)</f>
        <v>8</v>
      </c>
      <c r="D645">
        <v>11.596910013008056</v>
      </c>
      <c r="E645" t="s">
        <v>7</v>
      </c>
      <c r="F645" t="s">
        <v>12</v>
      </c>
      <c r="G645">
        <v>50</v>
      </c>
    </row>
    <row r="646" spans="1:7" x14ac:dyDescent="0.2">
      <c r="A646">
        <f t="shared" si="11"/>
        <v>54</v>
      </c>
      <c r="B646" t="s">
        <v>6</v>
      </c>
      <c r="C646">
        <f>IF(data!$B646&lt;&gt;data!$B645,1,C645+1)</f>
        <v>9</v>
      </c>
      <c r="D646">
        <v>10.045757490560675</v>
      </c>
      <c r="E646" t="s">
        <v>7</v>
      </c>
      <c r="F646" t="s">
        <v>12</v>
      </c>
      <c r="G646">
        <v>50</v>
      </c>
    </row>
    <row r="647" spans="1:7" x14ac:dyDescent="0.2">
      <c r="A647">
        <f t="shared" si="11"/>
        <v>54</v>
      </c>
      <c r="B647" t="s">
        <v>6</v>
      </c>
      <c r="C647">
        <f>IF(data!$B647&lt;&gt;data!$B646,1,C646+1)</f>
        <v>10</v>
      </c>
      <c r="D647">
        <v>8.5</v>
      </c>
      <c r="E647" t="s">
        <v>7</v>
      </c>
      <c r="F647" t="s">
        <v>12</v>
      </c>
      <c r="G647">
        <v>50</v>
      </c>
    </row>
    <row r="648" spans="1:7" x14ac:dyDescent="0.2">
      <c r="A648">
        <f t="shared" si="11"/>
        <v>54</v>
      </c>
      <c r="B648" t="s">
        <v>6</v>
      </c>
      <c r="C648">
        <f>IF(data!$B648&lt;&gt;data!$B647,1,C647+1)</f>
        <v>11</v>
      </c>
      <c r="D648">
        <v>6.9586073148417746</v>
      </c>
      <c r="E648" t="s">
        <v>7</v>
      </c>
      <c r="F648" t="s">
        <v>12</v>
      </c>
      <c r="G648">
        <v>50</v>
      </c>
    </row>
    <row r="649" spans="1:7" x14ac:dyDescent="0.2">
      <c r="A649">
        <f t="shared" si="11"/>
        <v>54</v>
      </c>
      <c r="B649" t="s">
        <v>6</v>
      </c>
      <c r="C649">
        <f>IF(data!$B649&lt;&gt;data!$B648,1,C648+1)</f>
        <v>12</v>
      </c>
      <c r="D649">
        <v>5.4208187539523749</v>
      </c>
      <c r="E649" t="s">
        <v>7</v>
      </c>
      <c r="F649" t="s">
        <v>12</v>
      </c>
      <c r="G649">
        <v>50</v>
      </c>
    </row>
    <row r="650" spans="1:7" x14ac:dyDescent="0.2">
      <c r="A650">
        <f t="shared" si="11"/>
        <v>55</v>
      </c>
      <c r="B650" t="s">
        <v>5</v>
      </c>
      <c r="C650">
        <f>IF(data!$B650&lt;&gt;data!$B649,1,C649+1)</f>
        <v>1</v>
      </c>
      <c r="D650">
        <v>22</v>
      </c>
      <c r="E650" t="s">
        <v>13</v>
      </c>
      <c r="F650" t="s">
        <v>12</v>
      </c>
      <c r="G650">
        <v>50</v>
      </c>
    </row>
    <row r="651" spans="1:7" x14ac:dyDescent="0.2">
      <c r="A651">
        <f t="shared" si="11"/>
        <v>55</v>
      </c>
      <c r="B651" t="s">
        <v>5</v>
      </c>
      <c r="C651">
        <f>IF(data!$B651&lt;&gt;data!$B650,1,C650+1)</f>
        <v>2</v>
      </c>
      <c r="D651">
        <v>21.198970004336019</v>
      </c>
      <c r="E651" t="s">
        <v>13</v>
      </c>
      <c r="F651" t="s">
        <v>12</v>
      </c>
      <c r="G651">
        <v>50</v>
      </c>
    </row>
    <row r="652" spans="1:7" x14ac:dyDescent="0.2">
      <c r="A652">
        <f t="shared" si="11"/>
        <v>55</v>
      </c>
      <c r="B652" t="s">
        <v>5</v>
      </c>
      <c r="C652">
        <f>IF(data!$B652&lt;&gt;data!$B651,1,C651+1)</f>
        <v>3</v>
      </c>
      <c r="D652">
        <v>20.522878745280337</v>
      </c>
      <c r="E652" t="s">
        <v>13</v>
      </c>
      <c r="F652" t="s">
        <v>12</v>
      </c>
      <c r="G652">
        <v>50</v>
      </c>
    </row>
    <row r="653" spans="1:7" x14ac:dyDescent="0.2">
      <c r="A653">
        <f t="shared" si="11"/>
        <v>55</v>
      </c>
      <c r="B653" t="s">
        <v>5</v>
      </c>
      <c r="C653">
        <f>IF(data!$B653&lt;&gt;data!$B652,1,C652+1)</f>
        <v>4</v>
      </c>
      <c r="D653">
        <v>19.897940008672037</v>
      </c>
      <c r="E653" t="s">
        <v>13</v>
      </c>
      <c r="F653" t="s">
        <v>12</v>
      </c>
      <c r="G653">
        <v>50</v>
      </c>
    </row>
    <row r="654" spans="1:7" x14ac:dyDescent="0.2">
      <c r="A654">
        <f t="shared" si="11"/>
        <v>55</v>
      </c>
      <c r="B654" t="s">
        <v>5</v>
      </c>
      <c r="C654">
        <f>IF(data!$B654&lt;&gt;data!$B653,1,C653+1)</f>
        <v>5</v>
      </c>
      <c r="D654">
        <v>19.301029995663981</v>
      </c>
      <c r="E654" t="s">
        <v>13</v>
      </c>
      <c r="F654" t="s">
        <v>12</v>
      </c>
      <c r="G654">
        <v>50</v>
      </c>
    </row>
    <row r="655" spans="1:7" x14ac:dyDescent="0.2">
      <c r="A655">
        <f t="shared" si="11"/>
        <v>55</v>
      </c>
      <c r="B655" t="s">
        <v>5</v>
      </c>
      <c r="C655">
        <f>IF(data!$B655&lt;&gt;data!$B654,1,C654+1)</f>
        <v>6</v>
      </c>
      <c r="D655">
        <v>18.721848749616356</v>
      </c>
      <c r="E655" t="s">
        <v>13</v>
      </c>
      <c r="F655" t="s">
        <v>12</v>
      </c>
      <c r="G655">
        <v>50</v>
      </c>
    </row>
    <row r="656" spans="1:7" x14ac:dyDescent="0.2">
      <c r="A656">
        <f t="shared" si="11"/>
        <v>55</v>
      </c>
      <c r="B656" t="s">
        <v>5</v>
      </c>
      <c r="C656">
        <f>IF(data!$B656&lt;&gt;data!$B655,1,C655+1)</f>
        <v>7</v>
      </c>
      <c r="D656">
        <v>18.154901959985743</v>
      </c>
      <c r="E656" t="s">
        <v>13</v>
      </c>
      <c r="F656" t="s">
        <v>12</v>
      </c>
      <c r="G656">
        <v>50</v>
      </c>
    </row>
    <row r="657" spans="1:7" x14ac:dyDescent="0.2">
      <c r="A657">
        <f t="shared" si="11"/>
        <v>55</v>
      </c>
      <c r="B657" t="s">
        <v>5</v>
      </c>
      <c r="C657">
        <f>IF(data!$B657&lt;&gt;data!$B656,1,C656+1)</f>
        <v>8</v>
      </c>
      <c r="D657">
        <v>17.596910013008056</v>
      </c>
      <c r="E657" t="s">
        <v>13</v>
      </c>
      <c r="F657" t="s">
        <v>12</v>
      </c>
      <c r="G657">
        <v>50</v>
      </c>
    </row>
    <row r="658" spans="1:7" x14ac:dyDescent="0.2">
      <c r="A658">
        <f t="shared" si="11"/>
        <v>55</v>
      </c>
      <c r="B658" t="s">
        <v>5</v>
      </c>
      <c r="C658">
        <f>IF(data!$B658&lt;&gt;data!$B657,1,C657+1)</f>
        <v>9</v>
      </c>
      <c r="D658">
        <v>17.045757490560675</v>
      </c>
      <c r="E658" t="s">
        <v>13</v>
      </c>
      <c r="F658" t="s">
        <v>12</v>
      </c>
      <c r="G658">
        <v>50</v>
      </c>
    </row>
    <row r="659" spans="1:7" x14ac:dyDescent="0.2">
      <c r="A659">
        <f t="shared" si="11"/>
        <v>55</v>
      </c>
      <c r="B659" t="s">
        <v>5</v>
      </c>
      <c r="C659">
        <f>IF(data!$B659&lt;&gt;data!$B658,1,C658+1)</f>
        <v>10</v>
      </c>
      <c r="D659">
        <v>16.5</v>
      </c>
      <c r="E659" t="s">
        <v>13</v>
      </c>
      <c r="F659" t="s">
        <v>12</v>
      </c>
      <c r="G659">
        <v>50</v>
      </c>
    </row>
    <row r="660" spans="1:7" x14ac:dyDescent="0.2">
      <c r="A660">
        <f t="shared" si="11"/>
        <v>55</v>
      </c>
      <c r="B660" t="s">
        <v>5</v>
      </c>
      <c r="C660">
        <f>IF(data!$B660&lt;&gt;data!$B659,1,C659+1)</f>
        <v>11</v>
      </c>
      <c r="D660">
        <v>15.958607314841775</v>
      </c>
      <c r="E660" t="s">
        <v>13</v>
      </c>
      <c r="F660" t="s">
        <v>12</v>
      </c>
      <c r="G660">
        <v>50</v>
      </c>
    </row>
    <row r="661" spans="1:7" x14ac:dyDescent="0.2">
      <c r="A661">
        <f t="shared" si="11"/>
        <v>55</v>
      </c>
      <c r="B661" t="s">
        <v>5</v>
      </c>
      <c r="C661">
        <f>IF(data!$B661&lt;&gt;data!$B660,1,C660+1)</f>
        <v>12</v>
      </c>
      <c r="D661">
        <v>15.420818753952375</v>
      </c>
      <c r="E661" t="s">
        <v>13</v>
      </c>
      <c r="F661" t="s">
        <v>12</v>
      </c>
      <c r="G661">
        <v>50</v>
      </c>
    </row>
    <row r="662" spans="1:7" x14ac:dyDescent="0.2">
      <c r="A662">
        <f t="shared" si="11"/>
        <v>56</v>
      </c>
      <c r="B662" t="s">
        <v>6</v>
      </c>
      <c r="C662">
        <f>IF(data!$B662&lt;&gt;data!$B661,1,C661+1)</f>
        <v>1</v>
      </c>
      <c r="D662">
        <v>24</v>
      </c>
      <c r="E662" t="s">
        <v>13</v>
      </c>
      <c r="F662" t="s">
        <v>12</v>
      </c>
      <c r="G662">
        <v>50</v>
      </c>
    </row>
    <row r="663" spans="1:7" x14ac:dyDescent="0.2">
      <c r="A663">
        <f t="shared" si="11"/>
        <v>56</v>
      </c>
      <c r="B663" t="s">
        <v>6</v>
      </c>
      <c r="C663">
        <f>IF(data!$B663&lt;&gt;data!$B662,1,C662+1)</f>
        <v>2</v>
      </c>
      <c r="D663">
        <v>22.498970004336019</v>
      </c>
      <c r="E663" t="s">
        <v>13</v>
      </c>
      <c r="F663" t="s">
        <v>12</v>
      </c>
      <c r="G663">
        <v>50</v>
      </c>
    </row>
    <row r="664" spans="1:7" x14ac:dyDescent="0.2">
      <c r="A664">
        <f t="shared" si="11"/>
        <v>56</v>
      </c>
      <c r="B664" t="s">
        <v>6</v>
      </c>
      <c r="C664">
        <f>IF(data!$B664&lt;&gt;data!$B663,1,C663+1)</f>
        <v>3</v>
      </c>
      <c r="D664">
        <v>21.122878745280339</v>
      </c>
      <c r="E664" t="s">
        <v>13</v>
      </c>
      <c r="F664" t="s">
        <v>12</v>
      </c>
      <c r="G664">
        <v>50</v>
      </c>
    </row>
    <row r="665" spans="1:7" x14ac:dyDescent="0.2">
      <c r="A665">
        <f t="shared" si="11"/>
        <v>56</v>
      </c>
      <c r="B665" t="s">
        <v>6</v>
      </c>
      <c r="C665">
        <f>IF(data!$B665&lt;&gt;data!$B664,1,C664+1)</f>
        <v>4</v>
      </c>
      <c r="D665">
        <v>19.79794000867204</v>
      </c>
      <c r="E665" t="s">
        <v>13</v>
      </c>
      <c r="F665" t="s">
        <v>12</v>
      </c>
      <c r="G665">
        <v>50</v>
      </c>
    </row>
    <row r="666" spans="1:7" x14ac:dyDescent="0.2">
      <c r="A666">
        <f t="shared" si="11"/>
        <v>56</v>
      </c>
      <c r="B666" t="s">
        <v>6</v>
      </c>
      <c r="C666">
        <f>IF(data!$B666&lt;&gt;data!$B665,1,C665+1)</f>
        <v>5</v>
      </c>
      <c r="D666">
        <v>18.501029995663984</v>
      </c>
      <c r="E666" t="s">
        <v>13</v>
      </c>
      <c r="F666" t="s">
        <v>12</v>
      </c>
      <c r="G666">
        <v>50</v>
      </c>
    </row>
    <row r="667" spans="1:7" x14ac:dyDescent="0.2">
      <c r="A667">
        <f t="shared" si="11"/>
        <v>56</v>
      </c>
      <c r="B667" t="s">
        <v>6</v>
      </c>
      <c r="C667">
        <f>IF(data!$B667&lt;&gt;data!$B666,1,C666+1)</f>
        <v>6</v>
      </c>
      <c r="D667">
        <v>17.22184874961636</v>
      </c>
      <c r="E667" t="s">
        <v>13</v>
      </c>
      <c r="F667" t="s">
        <v>12</v>
      </c>
      <c r="G667">
        <v>50</v>
      </c>
    </row>
    <row r="668" spans="1:7" x14ac:dyDescent="0.2">
      <c r="A668">
        <f t="shared" si="11"/>
        <v>56</v>
      </c>
      <c r="B668" t="s">
        <v>6</v>
      </c>
      <c r="C668">
        <f>IF(data!$B668&lt;&gt;data!$B667,1,C667+1)</f>
        <v>7</v>
      </c>
      <c r="D668">
        <v>15.954901959985747</v>
      </c>
      <c r="E668" t="s">
        <v>13</v>
      </c>
      <c r="F668" t="s">
        <v>12</v>
      </c>
      <c r="G668">
        <v>50</v>
      </c>
    </row>
    <row r="669" spans="1:7" x14ac:dyDescent="0.2">
      <c r="A669">
        <f t="shared" si="11"/>
        <v>56</v>
      </c>
      <c r="B669" t="s">
        <v>6</v>
      </c>
      <c r="C669">
        <f>IF(data!$B669&lt;&gt;data!$B668,1,C668+1)</f>
        <v>8</v>
      </c>
      <c r="D669">
        <v>14.696910013008061</v>
      </c>
      <c r="E669" t="s">
        <v>13</v>
      </c>
      <c r="F669" t="s">
        <v>12</v>
      </c>
      <c r="G669">
        <v>50</v>
      </c>
    </row>
    <row r="670" spans="1:7" x14ac:dyDescent="0.2">
      <c r="A670">
        <f t="shared" si="11"/>
        <v>56</v>
      </c>
      <c r="B670" t="s">
        <v>6</v>
      </c>
      <c r="C670">
        <f>IF(data!$B670&lt;&gt;data!$B669,1,C669+1)</f>
        <v>9</v>
      </c>
      <c r="D670">
        <v>13.44575749056068</v>
      </c>
      <c r="E670" t="s">
        <v>13</v>
      </c>
      <c r="F670" t="s">
        <v>12</v>
      </c>
      <c r="G670">
        <v>50</v>
      </c>
    </row>
    <row r="671" spans="1:7" x14ac:dyDescent="0.2">
      <c r="A671">
        <f t="shared" si="11"/>
        <v>56</v>
      </c>
      <c r="B671" t="s">
        <v>6</v>
      </c>
      <c r="C671">
        <f>IF(data!$B671&lt;&gt;data!$B670,1,C670+1)</f>
        <v>10</v>
      </c>
      <c r="D671">
        <v>12.200000000000006</v>
      </c>
      <c r="E671" t="s">
        <v>13</v>
      </c>
      <c r="F671" t="s">
        <v>12</v>
      </c>
      <c r="G671">
        <v>50</v>
      </c>
    </row>
    <row r="672" spans="1:7" x14ac:dyDescent="0.2">
      <c r="A672">
        <f t="shared" si="11"/>
        <v>56</v>
      </c>
      <c r="B672" t="s">
        <v>6</v>
      </c>
      <c r="C672">
        <f>IF(data!$B672&lt;&gt;data!$B671,1,C671+1)</f>
        <v>11</v>
      </c>
      <c r="D672">
        <v>10.958607314841782</v>
      </c>
      <c r="E672" t="s">
        <v>13</v>
      </c>
      <c r="F672" t="s">
        <v>12</v>
      </c>
      <c r="G672">
        <v>50</v>
      </c>
    </row>
    <row r="673" spans="1:7" x14ac:dyDescent="0.2">
      <c r="A673">
        <f t="shared" si="11"/>
        <v>56</v>
      </c>
      <c r="B673" t="s">
        <v>6</v>
      </c>
      <c r="C673">
        <f>IF(data!$B673&lt;&gt;data!$B672,1,C672+1)</f>
        <v>12</v>
      </c>
      <c r="D673">
        <v>9.7208187539523827</v>
      </c>
      <c r="E673" t="s">
        <v>13</v>
      </c>
      <c r="F673" t="s">
        <v>12</v>
      </c>
      <c r="G673">
        <v>50</v>
      </c>
    </row>
    <row r="674" spans="1:7" x14ac:dyDescent="0.2">
      <c r="A674">
        <f t="shared" ref="A674:A737" si="12">IF(B674=B673,A673,A673+1)</f>
        <v>57</v>
      </c>
      <c r="B674" t="s">
        <v>5</v>
      </c>
      <c r="C674">
        <f>IF(data!$B674&lt;&gt;data!$B673,1,C673+1)</f>
        <v>1</v>
      </c>
      <c r="D674">
        <v>19</v>
      </c>
      <c r="E674" t="s">
        <v>7</v>
      </c>
      <c r="F674" t="s">
        <v>14</v>
      </c>
      <c r="G674">
        <v>50</v>
      </c>
    </row>
    <row r="675" spans="1:7" x14ac:dyDescent="0.2">
      <c r="A675">
        <f t="shared" si="12"/>
        <v>57</v>
      </c>
      <c r="B675" t="s">
        <v>5</v>
      </c>
      <c r="C675">
        <f>IF(data!$B675&lt;&gt;data!$B674,1,C674+1)</f>
        <v>2</v>
      </c>
      <c r="D675">
        <v>18</v>
      </c>
      <c r="E675" t="s">
        <v>7</v>
      </c>
      <c r="F675" t="s">
        <v>14</v>
      </c>
      <c r="G675">
        <v>50</v>
      </c>
    </row>
    <row r="676" spans="1:7" x14ac:dyDescent="0.2">
      <c r="A676">
        <f t="shared" si="12"/>
        <v>57</v>
      </c>
      <c r="B676" t="s">
        <v>5</v>
      </c>
      <c r="C676">
        <f>IF(data!$B676&lt;&gt;data!$B675,1,C675+1)</f>
        <v>3</v>
      </c>
      <c r="D676">
        <v>17</v>
      </c>
      <c r="E676" t="s">
        <v>7</v>
      </c>
      <c r="F676" t="s">
        <v>14</v>
      </c>
      <c r="G676">
        <v>50</v>
      </c>
    </row>
    <row r="677" spans="1:7" x14ac:dyDescent="0.2">
      <c r="A677">
        <f t="shared" si="12"/>
        <v>57</v>
      </c>
      <c r="B677" t="s">
        <v>5</v>
      </c>
      <c r="C677">
        <f>IF(data!$B677&lt;&gt;data!$B676,1,C676+1)</f>
        <v>4</v>
      </c>
      <c r="D677">
        <v>16</v>
      </c>
      <c r="E677" t="s">
        <v>7</v>
      </c>
      <c r="F677" t="s">
        <v>14</v>
      </c>
      <c r="G677">
        <v>50</v>
      </c>
    </row>
    <row r="678" spans="1:7" x14ac:dyDescent="0.2">
      <c r="A678">
        <f t="shared" si="12"/>
        <v>57</v>
      </c>
      <c r="B678" t="s">
        <v>5</v>
      </c>
      <c r="C678">
        <f>IF(data!$B678&lt;&gt;data!$B677,1,C677+1)</f>
        <v>5</v>
      </c>
      <c r="D678">
        <v>15</v>
      </c>
      <c r="E678" t="s">
        <v>7</v>
      </c>
      <c r="F678" t="s">
        <v>14</v>
      </c>
      <c r="G678">
        <v>50</v>
      </c>
    </row>
    <row r="679" spans="1:7" x14ac:dyDescent="0.2">
      <c r="A679">
        <f t="shared" si="12"/>
        <v>57</v>
      </c>
      <c r="B679" t="s">
        <v>5</v>
      </c>
      <c r="C679">
        <f>IF(data!$B679&lt;&gt;data!$B678,1,C678+1)</f>
        <v>6</v>
      </c>
      <c r="D679">
        <v>14</v>
      </c>
      <c r="E679" t="s">
        <v>7</v>
      </c>
      <c r="F679" t="s">
        <v>14</v>
      </c>
      <c r="G679">
        <v>50</v>
      </c>
    </row>
    <row r="680" spans="1:7" x14ac:dyDescent="0.2">
      <c r="A680">
        <f t="shared" si="12"/>
        <v>57</v>
      </c>
      <c r="B680" t="s">
        <v>5</v>
      </c>
      <c r="C680">
        <f>IF(data!$B680&lt;&gt;data!$B679,1,C679+1)</f>
        <v>7</v>
      </c>
      <c r="D680">
        <v>13</v>
      </c>
      <c r="E680" t="s">
        <v>7</v>
      </c>
      <c r="F680" t="s">
        <v>14</v>
      </c>
      <c r="G680">
        <v>50</v>
      </c>
    </row>
    <row r="681" spans="1:7" x14ac:dyDescent="0.2">
      <c r="A681">
        <f t="shared" si="12"/>
        <v>57</v>
      </c>
      <c r="B681" t="s">
        <v>5</v>
      </c>
      <c r="C681">
        <f>IF(data!$B681&lt;&gt;data!$B680,1,C680+1)</f>
        <v>8</v>
      </c>
      <c r="D681">
        <v>12</v>
      </c>
      <c r="E681" t="s">
        <v>7</v>
      </c>
      <c r="F681" t="s">
        <v>14</v>
      </c>
      <c r="G681">
        <v>50</v>
      </c>
    </row>
    <row r="682" spans="1:7" x14ac:dyDescent="0.2">
      <c r="A682">
        <f t="shared" si="12"/>
        <v>57</v>
      </c>
      <c r="B682" t="s">
        <v>5</v>
      </c>
      <c r="C682">
        <f>IF(data!$B682&lt;&gt;data!$B681,1,C681+1)</f>
        <v>9</v>
      </c>
      <c r="D682">
        <v>11</v>
      </c>
      <c r="E682" t="s">
        <v>7</v>
      </c>
      <c r="F682" t="s">
        <v>14</v>
      </c>
      <c r="G682">
        <v>50</v>
      </c>
    </row>
    <row r="683" spans="1:7" x14ac:dyDescent="0.2">
      <c r="A683">
        <f t="shared" si="12"/>
        <v>57</v>
      </c>
      <c r="B683" t="s">
        <v>5</v>
      </c>
      <c r="C683">
        <f>IF(data!$B683&lt;&gt;data!$B682,1,C682+1)</f>
        <v>10</v>
      </c>
      <c r="D683">
        <v>10</v>
      </c>
      <c r="E683" t="s">
        <v>7</v>
      </c>
      <c r="F683" t="s">
        <v>14</v>
      </c>
      <c r="G683">
        <v>50</v>
      </c>
    </row>
    <row r="684" spans="1:7" x14ac:dyDescent="0.2">
      <c r="A684">
        <f t="shared" si="12"/>
        <v>57</v>
      </c>
      <c r="B684" t="s">
        <v>5</v>
      </c>
      <c r="C684">
        <f>IF(data!$B684&lt;&gt;data!$B683,1,C683+1)</f>
        <v>11</v>
      </c>
      <c r="D684">
        <v>9</v>
      </c>
      <c r="E684" t="s">
        <v>7</v>
      </c>
      <c r="F684" t="s">
        <v>14</v>
      </c>
      <c r="G684">
        <v>50</v>
      </c>
    </row>
    <row r="685" spans="1:7" x14ac:dyDescent="0.2">
      <c r="A685">
        <f t="shared" si="12"/>
        <v>57</v>
      </c>
      <c r="B685" t="s">
        <v>5</v>
      </c>
      <c r="C685">
        <f>IF(data!$B685&lt;&gt;data!$B684,1,C684+1)</f>
        <v>12</v>
      </c>
      <c r="D685">
        <v>8</v>
      </c>
      <c r="E685" t="s">
        <v>7</v>
      </c>
      <c r="F685" t="s">
        <v>14</v>
      </c>
      <c r="G685">
        <v>50</v>
      </c>
    </row>
    <row r="686" spans="1:7" x14ac:dyDescent="0.2">
      <c r="A686">
        <f t="shared" si="12"/>
        <v>58</v>
      </c>
      <c r="B686" t="s">
        <v>6</v>
      </c>
      <c r="C686">
        <f>IF(data!$B686&lt;&gt;data!$B685,1,C685+1)</f>
        <v>1</v>
      </c>
      <c r="D686">
        <v>21</v>
      </c>
      <c r="E686" t="s">
        <v>7</v>
      </c>
      <c r="F686" t="s">
        <v>14</v>
      </c>
      <c r="G686">
        <v>50</v>
      </c>
    </row>
    <row r="687" spans="1:7" x14ac:dyDescent="0.2">
      <c r="A687">
        <f t="shared" si="12"/>
        <v>58</v>
      </c>
      <c r="B687" t="s">
        <v>6</v>
      </c>
      <c r="C687">
        <f>IF(data!$B687&lt;&gt;data!$B686,1,C686+1)</f>
        <v>2</v>
      </c>
      <c r="D687">
        <v>19.5</v>
      </c>
      <c r="E687" t="s">
        <v>7</v>
      </c>
      <c r="F687" t="s">
        <v>14</v>
      </c>
      <c r="G687">
        <v>50</v>
      </c>
    </row>
    <row r="688" spans="1:7" x14ac:dyDescent="0.2">
      <c r="A688">
        <f t="shared" si="12"/>
        <v>58</v>
      </c>
      <c r="B688" t="s">
        <v>6</v>
      </c>
      <c r="C688">
        <f>IF(data!$B688&lt;&gt;data!$B687,1,C687+1)</f>
        <v>3</v>
      </c>
      <c r="D688">
        <v>18</v>
      </c>
      <c r="E688" t="s">
        <v>7</v>
      </c>
      <c r="F688" t="s">
        <v>14</v>
      </c>
      <c r="G688">
        <v>50</v>
      </c>
    </row>
    <row r="689" spans="1:7" x14ac:dyDescent="0.2">
      <c r="A689">
        <f t="shared" si="12"/>
        <v>58</v>
      </c>
      <c r="B689" t="s">
        <v>6</v>
      </c>
      <c r="C689">
        <f>IF(data!$B689&lt;&gt;data!$B688,1,C688+1)</f>
        <v>4</v>
      </c>
      <c r="D689">
        <v>16.5</v>
      </c>
      <c r="E689" t="s">
        <v>7</v>
      </c>
      <c r="F689" t="s">
        <v>14</v>
      </c>
      <c r="G689">
        <v>50</v>
      </c>
    </row>
    <row r="690" spans="1:7" x14ac:dyDescent="0.2">
      <c r="A690">
        <f t="shared" si="12"/>
        <v>58</v>
      </c>
      <c r="B690" t="s">
        <v>6</v>
      </c>
      <c r="C690">
        <f>IF(data!$B690&lt;&gt;data!$B689,1,C689+1)</f>
        <v>5</v>
      </c>
      <c r="D690">
        <v>15</v>
      </c>
      <c r="E690" t="s">
        <v>7</v>
      </c>
      <c r="F690" t="s">
        <v>14</v>
      </c>
      <c r="G690">
        <v>50</v>
      </c>
    </row>
    <row r="691" spans="1:7" x14ac:dyDescent="0.2">
      <c r="A691">
        <f t="shared" si="12"/>
        <v>58</v>
      </c>
      <c r="B691" t="s">
        <v>6</v>
      </c>
      <c r="C691">
        <f>IF(data!$B691&lt;&gt;data!$B690,1,C690+1)</f>
        <v>6</v>
      </c>
      <c r="D691">
        <v>13.5</v>
      </c>
      <c r="E691" t="s">
        <v>7</v>
      </c>
      <c r="F691" t="s">
        <v>14</v>
      </c>
      <c r="G691">
        <v>50</v>
      </c>
    </row>
    <row r="692" spans="1:7" x14ac:dyDescent="0.2">
      <c r="A692">
        <f t="shared" si="12"/>
        <v>58</v>
      </c>
      <c r="B692" t="s">
        <v>6</v>
      </c>
      <c r="C692">
        <f>IF(data!$B692&lt;&gt;data!$B691,1,C691+1)</f>
        <v>7</v>
      </c>
      <c r="D692">
        <v>12</v>
      </c>
      <c r="E692" t="s">
        <v>7</v>
      </c>
      <c r="F692" t="s">
        <v>14</v>
      </c>
      <c r="G692">
        <v>50</v>
      </c>
    </row>
    <row r="693" spans="1:7" x14ac:dyDescent="0.2">
      <c r="A693">
        <f t="shared" si="12"/>
        <v>58</v>
      </c>
      <c r="B693" t="s">
        <v>6</v>
      </c>
      <c r="C693">
        <f>IF(data!$B693&lt;&gt;data!$B692,1,C692+1)</f>
        <v>8</v>
      </c>
      <c r="D693">
        <v>10.5</v>
      </c>
      <c r="E693" t="s">
        <v>7</v>
      </c>
      <c r="F693" t="s">
        <v>14</v>
      </c>
      <c r="G693">
        <v>50</v>
      </c>
    </row>
    <row r="694" spans="1:7" x14ac:dyDescent="0.2">
      <c r="A694">
        <f t="shared" si="12"/>
        <v>58</v>
      </c>
      <c r="B694" t="s">
        <v>6</v>
      </c>
      <c r="C694">
        <f>IF(data!$B694&lt;&gt;data!$B693,1,C693+1)</f>
        <v>9</v>
      </c>
      <c r="D694">
        <v>9</v>
      </c>
      <c r="E694" t="s">
        <v>7</v>
      </c>
      <c r="F694" t="s">
        <v>14</v>
      </c>
      <c r="G694">
        <v>50</v>
      </c>
    </row>
    <row r="695" spans="1:7" x14ac:dyDescent="0.2">
      <c r="A695">
        <f t="shared" si="12"/>
        <v>58</v>
      </c>
      <c r="B695" t="s">
        <v>6</v>
      </c>
      <c r="C695">
        <f>IF(data!$B695&lt;&gt;data!$B694,1,C694+1)</f>
        <v>10</v>
      </c>
      <c r="D695">
        <v>7.5</v>
      </c>
      <c r="E695" t="s">
        <v>7</v>
      </c>
      <c r="F695" t="s">
        <v>14</v>
      </c>
      <c r="G695">
        <v>50</v>
      </c>
    </row>
    <row r="696" spans="1:7" x14ac:dyDescent="0.2">
      <c r="A696">
        <f t="shared" si="12"/>
        <v>58</v>
      </c>
      <c r="B696" t="s">
        <v>6</v>
      </c>
      <c r="C696">
        <f>IF(data!$B696&lt;&gt;data!$B695,1,C695+1)</f>
        <v>11</v>
      </c>
      <c r="D696">
        <v>6</v>
      </c>
      <c r="E696" t="s">
        <v>7</v>
      </c>
      <c r="F696" t="s">
        <v>14</v>
      </c>
      <c r="G696">
        <v>50</v>
      </c>
    </row>
    <row r="697" spans="1:7" x14ac:dyDescent="0.2">
      <c r="A697">
        <f t="shared" si="12"/>
        <v>58</v>
      </c>
      <c r="B697" t="s">
        <v>6</v>
      </c>
      <c r="C697">
        <f>IF(data!$B697&lt;&gt;data!$B696,1,C696+1)</f>
        <v>12</v>
      </c>
      <c r="D697">
        <v>4.5</v>
      </c>
      <c r="E697" t="s">
        <v>7</v>
      </c>
      <c r="F697" t="s">
        <v>14</v>
      </c>
      <c r="G697">
        <v>50</v>
      </c>
    </row>
    <row r="698" spans="1:7" x14ac:dyDescent="0.2">
      <c r="A698">
        <f t="shared" si="12"/>
        <v>59</v>
      </c>
      <c r="B698" t="s">
        <v>5</v>
      </c>
      <c r="C698">
        <f>IF(data!$B698&lt;&gt;data!$B697,1,C697+1)</f>
        <v>1</v>
      </c>
      <c r="D698">
        <v>20</v>
      </c>
      <c r="E698" t="s">
        <v>13</v>
      </c>
      <c r="F698" t="s">
        <v>14</v>
      </c>
      <c r="G698">
        <v>50</v>
      </c>
    </row>
    <row r="699" spans="1:7" x14ac:dyDescent="0.2">
      <c r="A699">
        <f t="shared" si="12"/>
        <v>59</v>
      </c>
      <c r="B699" t="s">
        <v>5</v>
      </c>
      <c r="C699">
        <f>IF(data!$B699&lt;&gt;data!$B698,1,C698+1)</f>
        <v>2</v>
      </c>
      <c r="D699">
        <v>19.5</v>
      </c>
      <c r="E699" t="s">
        <v>13</v>
      </c>
      <c r="F699" t="s">
        <v>14</v>
      </c>
      <c r="G699">
        <v>50</v>
      </c>
    </row>
    <row r="700" spans="1:7" x14ac:dyDescent="0.2">
      <c r="A700">
        <f t="shared" si="12"/>
        <v>59</v>
      </c>
      <c r="B700" t="s">
        <v>5</v>
      </c>
      <c r="C700">
        <f>IF(data!$B700&lt;&gt;data!$B699,1,C699+1)</f>
        <v>3</v>
      </c>
      <c r="D700">
        <v>19</v>
      </c>
      <c r="E700" t="s">
        <v>13</v>
      </c>
      <c r="F700" t="s">
        <v>14</v>
      </c>
      <c r="G700">
        <v>50</v>
      </c>
    </row>
    <row r="701" spans="1:7" x14ac:dyDescent="0.2">
      <c r="A701">
        <f t="shared" si="12"/>
        <v>59</v>
      </c>
      <c r="B701" t="s">
        <v>5</v>
      </c>
      <c r="C701">
        <f>IF(data!$B701&lt;&gt;data!$B700,1,C700+1)</f>
        <v>4</v>
      </c>
      <c r="D701">
        <v>18.5</v>
      </c>
      <c r="E701" t="s">
        <v>13</v>
      </c>
      <c r="F701" t="s">
        <v>14</v>
      </c>
      <c r="G701">
        <v>50</v>
      </c>
    </row>
    <row r="702" spans="1:7" x14ac:dyDescent="0.2">
      <c r="A702">
        <f t="shared" si="12"/>
        <v>59</v>
      </c>
      <c r="B702" t="s">
        <v>5</v>
      </c>
      <c r="C702">
        <f>IF(data!$B702&lt;&gt;data!$B701,1,C701+1)</f>
        <v>5</v>
      </c>
      <c r="D702">
        <v>18</v>
      </c>
      <c r="E702" t="s">
        <v>13</v>
      </c>
      <c r="F702" t="s">
        <v>14</v>
      </c>
      <c r="G702">
        <v>50</v>
      </c>
    </row>
    <row r="703" spans="1:7" x14ac:dyDescent="0.2">
      <c r="A703">
        <f t="shared" si="12"/>
        <v>59</v>
      </c>
      <c r="B703" t="s">
        <v>5</v>
      </c>
      <c r="C703">
        <f>IF(data!$B703&lt;&gt;data!$B702,1,C702+1)</f>
        <v>6</v>
      </c>
      <c r="D703">
        <v>17.5</v>
      </c>
      <c r="E703" t="s">
        <v>13</v>
      </c>
      <c r="F703" t="s">
        <v>14</v>
      </c>
      <c r="G703">
        <v>50</v>
      </c>
    </row>
    <row r="704" spans="1:7" x14ac:dyDescent="0.2">
      <c r="A704">
        <f t="shared" si="12"/>
        <v>59</v>
      </c>
      <c r="B704" t="s">
        <v>5</v>
      </c>
      <c r="C704">
        <f>IF(data!$B704&lt;&gt;data!$B703,1,C703+1)</f>
        <v>7</v>
      </c>
      <c r="D704">
        <v>17</v>
      </c>
      <c r="E704" t="s">
        <v>13</v>
      </c>
      <c r="F704" t="s">
        <v>14</v>
      </c>
      <c r="G704">
        <v>50</v>
      </c>
    </row>
    <row r="705" spans="1:7" x14ac:dyDescent="0.2">
      <c r="A705">
        <f t="shared" si="12"/>
        <v>59</v>
      </c>
      <c r="B705" t="s">
        <v>5</v>
      </c>
      <c r="C705">
        <f>IF(data!$B705&lt;&gt;data!$B704,1,C704+1)</f>
        <v>8</v>
      </c>
      <c r="D705">
        <v>16.5</v>
      </c>
      <c r="E705" t="s">
        <v>13</v>
      </c>
      <c r="F705" t="s">
        <v>14</v>
      </c>
      <c r="G705">
        <v>50</v>
      </c>
    </row>
    <row r="706" spans="1:7" x14ac:dyDescent="0.2">
      <c r="A706">
        <f t="shared" si="12"/>
        <v>59</v>
      </c>
      <c r="B706" t="s">
        <v>5</v>
      </c>
      <c r="C706">
        <f>IF(data!$B706&lt;&gt;data!$B705,1,C705+1)</f>
        <v>9</v>
      </c>
      <c r="D706">
        <v>16</v>
      </c>
      <c r="E706" t="s">
        <v>13</v>
      </c>
      <c r="F706" t="s">
        <v>14</v>
      </c>
      <c r="G706">
        <v>50</v>
      </c>
    </row>
    <row r="707" spans="1:7" x14ac:dyDescent="0.2">
      <c r="A707">
        <f t="shared" si="12"/>
        <v>59</v>
      </c>
      <c r="B707" t="s">
        <v>5</v>
      </c>
      <c r="C707">
        <f>IF(data!$B707&lt;&gt;data!$B706,1,C706+1)</f>
        <v>10</v>
      </c>
      <c r="D707">
        <v>15.5</v>
      </c>
      <c r="E707" t="s">
        <v>13</v>
      </c>
      <c r="F707" t="s">
        <v>14</v>
      </c>
      <c r="G707">
        <v>50</v>
      </c>
    </row>
    <row r="708" spans="1:7" x14ac:dyDescent="0.2">
      <c r="A708">
        <f t="shared" si="12"/>
        <v>59</v>
      </c>
      <c r="B708" t="s">
        <v>5</v>
      </c>
      <c r="C708">
        <f>IF(data!$B708&lt;&gt;data!$B707,1,C707+1)</f>
        <v>11</v>
      </c>
      <c r="D708">
        <v>15</v>
      </c>
      <c r="E708" t="s">
        <v>13</v>
      </c>
      <c r="F708" t="s">
        <v>14</v>
      </c>
      <c r="G708">
        <v>50</v>
      </c>
    </row>
    <row r="709" spans="1:7" x14ac:dyDescent="0.2">
      <c r="A709">
        <f t="shared" si="12"/>
        <v>59</v>
      </c>
      <c r="B709" t="s">
        <v>5</v>
      </c>
      <c r="C709">
        <f>IF(data!$B709&lt;&gt;data!$B708,1,C708+1)</f>
        <v>12</v>
      </c>
      <c r="D709">
        <v>14.5</v>
      </c>
      <c r="E709" t="s">
        <v>13</v>
      </c>
      <c r="F709" t="s">
        <v>14</v>
      </c>
      <c r="G709">
        <v>50</v>
      </c>
    </row>
    <row r="710" spans="1:7" x14ac:dyDescent="0.2">
      <c r="A710">
        <f t="shared" si="12"/>
        <v>60</v>
      </c>
      <c r="B710" t="s">
        <v>6</v>
      </c>
      <c r="C710">
        <f>IF(data!$B710&lt;&gt;data!$B709,1,C709+1)</f>
        <v>1</v>
      </c>
      <c r="D710">
        <v>22</v>
      </c>
      <c r="E710" t="s">
        <v>13</v>
      </c>
      <c r="F710" t="s">
        <v>14</v>
      </c>
      <c r="G710">
        <v>50</v>
      </c>
    </row>
    <row r="711" spans="1:7" x14ac:dyDescent="0.2">
      <c r="A711">
        <f t="shared" si="12"/>
        <v>60</v>
      </c>
      <c r="B711" t="s">
        <v>6</v>
      </c>
      <c r="C711">
        <f>IF(data!$B711&lt;&gt;data!$B710,1,C710+1)</f>
        <v>2</v>
      </c>
      <c r="D711">
        <v>20.8</v>
      </c>
      <c r="E711" t="s">
        <v>13</v>
      </c>
      <c r="F711" t="s">
        <v>14</v>
      </c>
      <c r="G711">
        <v>50</v>
      </c>
    </row>
    <row r="712" spans="1:7" x14ac:dyDescent="0.2">
      <c r="A712">
        <f t="shared" si="12"/>
        <v>60</v>
      </c>
      <c r="B712" t="s">
        <v>6</v>
      </c>
      <c r="C712">
        <f>IF(data!$B712&lt;&gt;data!$B711,1,C711+1)</f>
        <v>3</v>
      </c>
      <c r="D712">
        <v>19.600000000000001</v>
      </c>
      <c r="E712" t="s">
        <v>13</v>
      </c>
      <c r="F712" t="s">
        <v>14</v>
      </c>
      <c r="G712">
        <v>50</v>
      </c>
    </row>
    <row r="713" spans="1:7" x14ac:dyDescent="0.2">
      <c r="A713">
        <f t="shared" si="12"/>
        <v>60</v>
      </c>
      <c r="B713" t="s">
        <v>6</v>
      </c>
      <c r="C713">
        <f>IF(data!$B713&lt;&gt;data!$B712,1,C712+1)</f>
        <v>4</v>
      </c>
      <c r="D713">
        <v>18.400000000000002</v>
      </c>
      <c r="E713" t="s">
        <v>13</v>
      </c>
      <c r="F713" t="s">
        <v>14</v>
      </c>
      <c r="G713">
        <v>50</v>
      </c>
    </row>
    <row r="714" spans="1:7" x14ac:dyDescent="0.2">
      <c r="A714">
        <f t="shared" si="12"/>
        <v>60</v>
      </c>
      <c r="B714" t="s">
        <v>6</v>
      </c>
      <c r="C714">
        <f>IF(data!$B714&lt;&gt;data!$B713,1,C713+1)</f>
        <v>5</v>
      </c>
      <c r="D714">
        <v>17.200000000000003</v>
      </c>
      <c r="E714" t="s">
        <v>13</v>
      </c>
      <c r="F714" t="s">
        <v>14</v>
      </c>
      <c r="G714">
        <v>50</v>
      </c>
    </row>
    <row r="715" spans="1:7" x14ac:dyDescent="0.2">
      <c r="A715">
        <f t="shared" si="12"/>
        <v>60</v>
      </c>
      <c r="B715" t="s">
        <v>6</v>
      </c>
      <c r="C715">
        <f>IF(data!$B715&lt;&gt;data!$B714,1,C714+1)</f>
        <v>6</v>
      </c>
      <c r="D715">
        <v>16.000000000000004</v>
      </c>
      <c r="E715" t="s">
        <v>13</v>
      </c>
      <c r="F715" t="s">
        <v>14</v>
      </c>
      <c r="G715">
        <v>50</v>
      </c>
    </row>
    <row r="716" spans="1:7" x14ac:dyDescent="0.2">
      <c r="A716">
        <f t="shared" si="12"/>
        <v>60</v>
      </c>
      <c r="B716" t="s">
        <v>6</v>
      </c>
      <c r="C716">
        <f>IF(data!$B716&lt;&gt;data!$B715,1,C715+1)</f>
        <v>7</v>
      </c>
      <c r="D716">
        <v>14.800000000000004</v>
      </c>
      <c r="E716" t="s">
        <v>13</v>
      </c>
      <c r="F716" t="s">
        <v>14</v>
      </c>
      <c r="G716">
        <v>50</v>
      </c>
    </row>
    <row r="717" spans="1:7" x14ac:dyDescent="0.2">
      <c r="A717">
        <f t="shared" si="12"/>
        <v>60</v>
      </c>
      <c r="B717" t="s">
        <v>6</v>
      </c>
      <c r="C717">
        <f>IF(data!$B717&lt;&gt;data!$B716,1,C716+1)</f>
        <v>8</v>
      </c>
      <c r="D717">
        <v>13.600000000000005</v>
      </c>
      <c r="E717" t="s">
        <v>13</v>
      </c>
      <c r="F717" t="s">
        <v>14</v>
      </c>
      <c r="G717">
        <v>50</v>
      </c>
    </row>
    <row r="718" spans="1:7" x14ac:dyDescent="0.2">
      <c r="A718">
        <f t="shared" si="12"/>
        <v>60</v>
      </c>
      <c r="B718" t="s">
        <v>6</v>
      </c>
      <c r="C718">
        <f>IF(data!$B718&lt;&gt;data!$B717,1,C717+1)</f>
        <v>9</v>
      </c>
      <c r="D718">
        <v>12.400000000000006</v>
      </c>
      <c r="E718" t="s">
        <v>13</v>
      </c>
      <c r="F718" t="s">
        <v>14</v>
      </c>
      <c r="G718">
        <v>50</v>
      </c>
    </row>
    <row r="719" spans="1:7" x14ac:dyDescent="0.2">
      <c r="A719">
        <f t="shared" si="12"/>
        <v>60</v>
      </c>
      <c r="B719" t="s">
        <v>6</v>
      </c>
      <c r="C719">
        <f>IF(data!$B719&lt;&gt;data!$B718,1,C718+1)</f>
        <v>10</v>
      </c>
      <c r="D719">
        <v>11.200000000000006</v>
      </c>
      <c r="E719" t="s">
        <v>13</v>
      </c>
      <c r="F719" t="s">
        <v>14</v>
      </c>
      <c r="G719">
        <v>50</v>
      </c>
    </row>
    <row r="720" spans="1:7" x14ac:dyDescent="0.2">
      <c r="A720">
        <f t="shared" si="12"/>
        <v>60</v>
      </c>
      <c r="B720" t="s">
        <v>6</v>
      </c>
      <c r="C720">
        <f>IF(data!$B720&lt;&gt;data!$B719,1,C719+1)</f>
        <v>11</v>
      </c>
      <c r="D720">
        <v>10.000000000000007</v>
      </c>
      <c r="E720" t="s">
        <v>13</v>
      </c>
      <c r="F720" t="s">
        <v>14</v>
      </c>
      <c r="G720">
        <v>50</v>
      </c>
    </row>
    <row r="721" spans="1:7" x14ac:dyDescent="0.2">
      <c r="A721">
        <f t="shared" si="12"/>
        <v>60</v>
      </c>
      <c r="B721" t="s">
        <v>6</v>
      </c>
      <c r="C721">
        <f>IF(data!$B721&lt;&gt;data!$B720,1,C720+1)</f>
        <v>12</v>
      </c>
      <c r="D721">
        <v>8.8000000000000078</v>
      </c>
      <c r="E721" t="s">
        <v>13</v>
      </c>
      <c r="F721" t="s">
        <v>14</v>
      </c>
      <c r="G721">
        <v>50</v>
      </c>
    </row>
    <row r="722" spans="1:7" x14ac:dyDescent="0.2">
      <c r="A722">
        <f t="shared" si="12"/>
        <v>61</v>
      </c>
      <c r="B722" t="s">
        <v>5</v>
      </c>
      <c r="C722">
        <f>IF(data!$B722&lt;&gt;data!$B721,1,C721+1)</f>
        <v>1</v>
      </c>
      <c r="D722">
        <v>19</v>
      </c>
      <c r="E722" t="s">
        <v>7</v>
      </c>
      <c r="F722" t="s">
        <v>12</v>
      </c>
      <c r="G722">
        <v>50</v>
      </c>
    </row>
    <row r="723" spans="1:7" x14ac:dyDescent="0.2">
      <c r="A723">
        <f t="shared" si="12"/>
        <v>61</v>
      </c>
      <c r="B723" t="s">
        <v>5</v>
      </c>
      <c r="C723">
        <f>IF(data!$B723&lt;&gt;data!$B722,1,C722+1)</f>
        <v>2</v>
      </c>
      <c r="D723">
        <v>17.698970004336019</v>
      </c>
      <c r="E723" t="s">
        <v>7</v>
      </c>
      <c r="F723" t="s">
        <v>12</v>
      </c>
      <c r="G723">
        <v>50</v>
      </c>
    </row>
    <row r="724" spans="1:7" x14ac:dyDescent="0.2">
      <c r="A724">
        <f t="shared" si="12"/>
        <v>61</v>
      </c>
      <c r="B724" t="s">
        <v>5</v>
      </c>
      <c r="C724">
        <f>IF(data!$B724&lt;&gt;data!$B723,1,C723+1)</f>
        <v>3</v>
      </c>
      <c r="D724">
        <v>16.522878745280337</v>
      </c>
      <c r="E724" t="s">
        <v>7</v>
      </c>
      <c r="F724" t="s">
        <v>12</v>
      </c>
      <c r="G724">
        <v>50</v>
      </c>
    </row>
    <row r="725" spans="1:7" x14ac:dyDescent="0.2">
      <c r="A725">
        <f t="shared" si="12"/>
        <v>61</v>
      </c>
      <c r="B725" t="s">
        <v>5</v>
      </c>
      <c r="C725">
        <f>IF(data!$B725&lt;&gt;data!$B724,1,C724+1)</f>
        <v>4</v>
      </c>
      <c r="D725">
        <v>15.397940008672037</v>
      </c>
      <c r="E725" t="s">
        <v>7</v>
      </c>
      <c r="F725" t="s">
        <v>12</v>
      </c>
      <c r="G725">
        <v>50</v>
      </c>
    </row>
    <row r="726" spans="1:7" x14ac:dyDescent="0.2">
      <c r="A726">
        <f t="shared" si="12"/>
        <v>61</v>
      </c>
      <c r="B726" t="s">
        <v>5</v>
      </c>
      <c r="C726">
        <f>IF(data!$B726&lt;&gt;data!$B725,1,C725+1)</f>
        <v>5</v>
      </c>
      <c r="D726">
        <v>14.301029995663981</v>
      </c>
      <c r="E726" t="s">
        <v>7</v>
      </c>
      <c r="F726" t="s">
        <v>12</v>
      </c>
      <c r="G726">
        <v>50</v>
      </c>
    </row>
    <row r="727" spans="1:7" x14ac:dyDescent="0.2">
      <c r="A727">
        <f t="shared" si="12"/>
        <v>61</v>
      </c>
      <c r="B727" t="s">
        <v>5</v>
      </c>
      <c r="C727">
        <f>IF(data!$B727&lt;&gt;data!$B726,1,C726+1)</f>
        <v>6</v>
      </c>
      <c r="D727">
        <v>13.221848749616356</v>
      </c>
      <c r="E727" t="s">
        <v>7</v>
      </c>
      <c r="F727" t="s">
        <v>12</v>
      </c>
      <c r="G727">
        <v>50</v>
      </c>
    </row>
    <row r="728" spans="1:7" x14ac:dyDescent="0.2">
      <c r="A728">
        <f t="shared" si="12"/>
        <v>61</v>
      </c>
      <c r="B728" t="s">
        <v>5</v>
      </c>
      <c r="C728">
        <f>IF(data!$B728&lt;&gt;data!$B727,1,C727+1)</f>
        <v>7</v>
      </c>
      <c r="D728">
        <v>12.154901959985743</v>
      </c>
      <c r="E728" t="s">
        <v>7</v>
      </c>
      <c r="F728" t="s">
        <v>12</v>
      </c>
      <c r="G728">
        <v>50</v>
      </c>
    </row>
    <row r="729" spans="1:7" x14ac:dyDescent="0.2">
      <c r="A729">
        <f t="shared" si="12"/>
        <v>61</v>
      </c>
      <c r="B729" t="s">
        <v>5</v>
      </c>
      <c r="C729">
        <f>IF(data!$B729&lt;&gt;data!$B728,1,C728+1)</f>
        <v>8</v>
      </c>
      <c r="D729">
        <v>11.096910013008056</v>
      </c>
      <c r="E729" t="s">
        <v>7</v>
      </c>
      <c r="F729" t="s">
        <v>12</v>
      </c>
      <c r="G729">
        <v>50</v>
      </c>
    </row>
    <row r="730" spans="1:7" x14ac:dyDescent="0.2">
      <c r="A730">
        <f t="shared" si="12"/>
        <v>61</v>
      </c>
      <c r="B730" t="s">
        <v>5</v>
      </c>
      <c r="C730">
        <f>IF(data!$B730&lt;&gt;data!$B729,1,C729+1)</f>
        <v>9</v>
      </c>
      <c r="D730">
        <v>10.045757490560675</v>
      </c>
      <c r="E730" t="s">
        <v>7</v>
      </c>
      <c r="F730" t="s">
        <v>12</v>
      </c>
      <c r="G730">
        <v>50</v>
      </c>
    </row>
    <row r="731" spans="1:7" x14ac:dyDescent="0.2">
      <c r="A731">
        <f t="shared" si="12"/>
        <v>61</v>
      </c>
      <c r="B731" t="s">
        <v>5</v>
      </c>
      <c r="C731">
        <f>IF(data!$B731&lt;&gt;data!$B730,1,C730+1)</f>
        <v>10</v>
      </c>
      <c r="D731">
        <v>9</v>
      </c>
      <c r="E731" t="s">
        <v>7</v>
      </c>
      <c r="F731" t="s">
        <v>12</v>
      </c>
      <c r="G731">
        <v>50</v>
      </c>
    </row>
    <row r="732" spans="1:7" x14ac:dyDescent="0.2">
      <c r="A732">
        <f t="shared" si="12"/>
        <v>61</v>
      </c>
      <c r="B732" t="s">
        <v>5</v>
      </c>
      <c r="C732">
        <f>IF(data!$B732&lt;&gt;data!$B731,1,C731+1)</f>
        <v>11</v>
      </c>
      <c r="D732">
        <v>7.9586073148417746</v>
      </c>
      <c r="E732" t="s">
        <v>7</v>
      </c>
      <c r="F732" t="s">
        <v>12</v>
      </c>
      <c r="G732">
        <v>50</v>
      </c>
    </row>
    <row r="733" spans="1:7" x14ac:dyDescent="0.2">
      <c r="A733">
        <f t="shared" si="12"/>
        <v>61</v>
      </c>
      <c r="B733" t="s">
        <v>5</v>
      </c>
      <c r="C733">
        <f>IF(data!$B733&lt;&gt;data!$B732,1,C732+1)</f>
        <v>12</v>
      </c>
      <c r="D733">
        <v>6.9208187539523749</v>
      </c>
      <c r="E733" t="s">
        <v>7</v>
      </c>
      <c r="F733" t="s">
        <v>12</v>
      </c>
      <c r="G733">
        <v>50</v>
      </c>
    </row>
    <row r="734" spans="1:7" x14ac:dyDescent="0.2">
      <c r="A734">
        <f t="shared" si="12"/>
        <v>62</v>
      </c>
      <c r="B734" t="s">
        <v>6</v>
      </c>
      <c r="C734">
        <f>IF(data!$B734&lt;&gt;data!$B733,1,C733+1)</f>
        <v>1</v>
      </c>
      <c r="D734">
        <v>21</v>
      </c>
      <c r="E734" t="s">
        <v>7</v>
      </c>
      <c r="F734" t="s">
        <v>12</v>
      </c>
      <c r="G734">
        <v>50</v>
      </c>
    </row>
    <row r="735" spans="1:7" x14ac:dyDescent="0.2">
      <c r="A735">
        <f t="shared" si="12"/>
        <v>62</v>
      </c>
      <c r="B735" t="s">
        <v>6</v>
      </c>
      <c r="C735">
        <f>IF(data!$B735&lt;&gt;data!$B734,1,C734+1)</f>
        <v>2</v>
      </c>
      <c r="D735">
        <v>19.198970004336019</v>
      </c>
      <c r="E735" t="s">
        <v>7</v>
      </c>
      <c r="F735" t="s">
        <v>12</v>
      </c>
      <c r="G735">
        <v>50</v>
      </c>
    </row>
    <row r="736" spans="1:7" x14ac:dyDescent="0.2">
      <c r="A736">
        <f t="shared" si="12"/>
        <v>62</v>
      </c>
      <c r="B736" t="s">
        <v>6</v>
      </c>
      <c r="C736">
        <f>IF(data!$B736&lt;&gt;data!$B735,1,C735+1)</f>
        <v>3</v>
      </c>
      <c r="D736">
        <v>17.522878745280337</v>
      </c>
      <c r="E736" t="s">
        <v>7</v>
      </c>
      <c r="F736" t="s">
        <v>12</v>
      </c>
      <c r="G736">
        <v>50</v>
      </c>
    </row>
    <row r="737" spans="1:7" x14ac:dyDescent="0.2">
      <c r="A737">
        <f t="shared" si="12"/>
        <v>62</v>
      </c>
      <c r="B737" t="s">
        <v>6</v>
      </c>
      <c r="C737">
        <f>IF(data!$B737&lt;&gt;data!$B736,1,C736+1)</f>
        <v>4</v>
      </c>
      <c r="D737">
        <v>15.897940008672037</v>
      </c>
      <c r="E737" t="s">
        <v>7</v>
      </c>
      <c r="F737" t="s">
        <v>12</v>
      </c>
      <c r="G737">
        <v>50</v>
      </c>
    </row>
    <row r="738" spans="1:7" x14ac:dyDescent="0.2">
      <c r="A738">
        <f t="shared" ref="A738:A801" si="13">IF(B738=B737,A737,A737+1)</f>
        <v>62</v>
      </c>
      <c r="B738" t="s">
        <v>6</v>
      </c>
      <c r="C738">
        <f>IF(data!$B738&lt;&gt;data!$B737,1,C737+1)</f>
        <v>5</v>
      </c>
      <c r="D738">
        <v>14.301029995663981</v>
      </c>
      <c r="E738" t="s">
        <v>7</v>
      </c>
      <c r="F738" t="s">
        <v>12</v>
      </c>
      <c r="G738">
        <v>50</v>
      </c>
    </row>
    <row r="739" spans="1:7" x14ac:dyDescent="0.2">
      <c r="A739">
        <f t="shared" si="13"/>
        <v>62</v>
      </c>
      <c r="B739" t="s">
        <v>6</v>
      </c>
      <c r="C739">
        <f>IF(data!$B739&lt;&gt;data!$B738,1,C738+1)</f>
        <v>6</v>
      </c>
      <c r="D739">
        <v>12.721848749616356</v>
      </c>
      <c r="E739" t="s">
        <v>7</v>
      </c>
      <c r="F739" t="s">
        <v>12</v>
      </c>
      <c r="G739">
        <v>50</v>
      </c>
    </row>
    <row r="740" spans="1:7" x14ac:dyDescent="0.2">
      <c r="A740">
        <f t="shared" si="13"/>
        <v>62</v>
      </c>
      <c r="B740" t="s">
        <v>6</v>
      </c>
      <c r="C740">
        <f>IF(data!$B740&lt;&gt;data!$B739,1,C739+1)</f>
        <v>7</v>
      </c>
      <c r="D740">
        <v>11.154901959985743</v>
      </c>
      <c r="E740" t="s">
        <v>7</v>
      </c>
      <c r="F740" t="s">
        <v>12</v>
      </c>
      <c r="G740">
        <v>50</v>
      </c>
    </row>
    <row r="741" spans="1:7" x14ac:dyDescent="0.2">
      <c r="A741">
        <f t="shared" si="13"/>
        <v>62</v>
      </c>
      <c r="B741" t="s">
        <v>6</v>
      </c>
      <c r="C741">
        <f>IF(data!$B741&lt;&gt;data!$B740,1,C740+1)</f>
        <v>8</v>
      </c>
      <c r="D741">
        <v>9.5969100130080562</v>
      </c>
      <c r="E741" t="s">
        <v>7</v>
      </c>
      <c r="F741" t="s">
        <v>12</v>
      </c>
      <c r="G741">
        <v>50</v>
      </c>
    </row>
    <row r="742" spans="1:7" x14ac:dyDescent="0.2">
      <c r="A742">
        <f t="shared" si="13"/>
        <v>62</v>
      </c>
      <c r="B742" t="s">
        <v>6</v>
      </c>
      <c r="C742">
        <f>IF(data!$B742&lt;&gt;data!$B741,1,C741+1)</f>
        <v>9</v>
      </c>
      <c r="D742">
        <v>8.0457574905606748</v>
      </c>
      <c r="E742" t="s">
        <v>7</v>
      </c>
      <c r="F742" t="s">
        <v>12</v>
      </c>
      <c r="G742">
        <v>50</v>
      </c>
    </row>
    <row r="743" spans="1:7" x14ac:dyDescent="0.2">
      <c r="A743">
        <f t="shared" si="13"/>
        <v>62</v>
      </c>
      <c r="B743" t="s">
        <v>6</v>
      </c>
      <c r="C743">
        <f>IF(data!$B743&lt;&gt;data!$B742,1,C742+1)</f>
        <v>10</v>
      </c>
      <c r="D743">
        <v>6.5</v>
      </c>
      <c r="E743" t="s">
        <v>7</v>
      </c>
      <c r="F743" t="s">
        <v>12</v>
      </c>
      <c r="G743">
        <v>50</v>
      </c>
    </row>
    <row r="744" spans="1:7" x14ac:dyDescent="0.2">
      <c r="A744">
        <f t="shared" si="13"/>
        <v>62</v>
      </c>
      <c r="B744" t="s">
        <v>6</v>
      </c>
      <c r="C744">
        <f>IF(data!$B744&lt;&gt;data!$B743,1,C743+1)</f>
        <v>11</v>
      </c>
      <c r="D744">
        <v>4.9586073148417746</v>
      </c>
      <c r="E744" t="s">
        <v>7</v>
      </c>
      <c r="F744" t="s">
        <v>12</v>
      </c>
      <c r="G744">
        <v>50</v>
      </c>
    </row>
    <row r="745" spans="1:7" x14ac:dyDescent="0.2">
      <c r="A745">
        <f t="shared" si="13"/>
        <v>62</v>
      </c>
      <c r="B745" t="s">
        <v>6</v>
      </c>
      <c r="C745">
        <f>IF(data!$B745&lt;&gt;data!$B744,1,C744+1)</f>
        <v>12</v>
      </c>
      <c r="D745">
        <v>3.4208187539523749</v>
      </c>
      <c r="E745" t="s">
        <v>7</v>
      </c>
      <c r="F745" t="s">
        <v>12</v>
      </c>
      <c r="G745">
        <v>50</v>
      </c>
    </row>
    <row r="746" spans="1:7" x14ac:dyDescent="0.2">
      <c r="A746">
        <f t="shared" si="13"/>
        <v>63</v>
      </c>
      <c r="B746" t="s">
        <v>5</v>
      </c>
      <c r="C746">
        <f>IF(data!$B746&lt;&gt;data!$B745,1,C745+1)</f>
        <v>1</v>
      </c>
      <c r="D746">
        <v>20</v>
      </c>
      <c r="E746" t="s">
        <v>13</v>
      </c>
      <c r="F746" t="s">
        <v>12</v>
      </c>
      <c r="G746">
        <v>50</v>
      </c>
    </row>
    <row r="747" spans="1:7" x14ac:dyDescent="0.2">
      <c r="A747">
        <f t="shared" si="13"/>
        <v>63</v>
      </c>
      <c r="B747" t="s">
        <v>5</v>
      </c>
      <c r="C747">
        <f>IF(data!$B747&lt;&gt;data!$B746,1,C746+1)</f>
        <v>2</v>
      </c>
      <c r="D747">
        <v>19.198970004336019</v>
      </c>
      <c r="E747" t="s">
        <v>13</v>
      </c>
      <c r="F747" t="s">
        <v>12</v>
      </c>
      <c r="G747">
        <v>50</v>
      </c>
    </row>
    <row r="748" spans="1:7" x14ac:dyDescent="0.2">
      <c r="A748">
        <f t="shared" si="13"/>
        <v>63</v>
      </c>
      <c r="B748" t="s">
        <v>5</v>
      </c>
      <c r="C748">
        <f>IF(data!$B748&lt;&gt;data!$B747,1,C747+1)</f>
        <v>3</v>
      </c>
      <c r="D748">
        <v>18.522878745280337</v>
      </c>
      <c r="E748" t="s">
        <v>13</v>
      </c>
      <c r="F748" t="s">
        <v>12</v>
      </c>
      <c r="G748">
        <v>50</v>
      </c>
    </row>
    <row r="749" spans="1:7" x14ac:dyDescent="0.2">
      <c r="A749">
        <f t="shared" si="13"/>
        <v>63</v>
      </c>
      <c r="B749" t="s">
        <v>5</v>
      </c>
      <c r="C749">
        <f>IF(data!$B749&lt;&gt;data!$B748,1,C748+1)</f>
        <v>4</v>
      </c>
      <c r="D749">
        <v>17.897940008672037</v>
      </c>
      <c r="E749" t="s">
        <v>13</v>
      </c>
      <c r="F749" t="s">
        <v>12</v>
      </c>
      <c r="G749">
        <v>50</v>
      </c>
    </row>
    <row r="750" spans="1:7" x14ac:dyDescent="0.2">
      <c r="A750">
        <f t="shared" si="13"/>
        <v>63</v>
      </c>
      <c r="B750" t="s">
        <v>5</v>
      </c>
      <c r="C750">
        <f>IF(data!$B750&lt;&gt;data!$B749,1,C749+1)</f>
        <v>5</v>
      </c>
      <c r="D750">
        <v>17.301029995663981</v>
      </c>
      <c r="E750" t="s">
        <v>13</v>
      </c>
      <c r="F750" t="s">
        <v>12</v>
      </c>
      <c r="G750">
        <v>50</v>
      </c>
    </row>
    <row r="751" spans="1:7" x14ac:dyDescent="0.2">
      <c r="A751">
        <f t="shared" si="13"/>
        <v>63</v>
      </c>
      <c r="B751" t="s">
        <v>5</v>
      </c>
      <c r="C751">
        <f>IF(data!$B751&lt;&gt;data!$B750,1,C750+1)</f>
        <v>6</v>
      </c>
      <c r="D751">
        <v>16.721848749616356</v>
      </c>
      <c r="E751" t="s">
        <v>13</v>
      </c>
      <c r="F751" t="s">
        <v>12</v>
      </c>
      <c r="G751">
        <v>50</v>
      </c>
    </row>
    <row r="752" spans="1:7" x14ac:dyDescent="0.2">
      <c r="A752">
        <f t="shared" si="13"/>
        <v>63</v>
      </c>
      <c r="B752" t="s">
        <v>5</v>
      </c>
      <c r="C752">
        <f>IF(data!$B752&lt;&gt;data!$B751,1,C751+1)</f>
        <v>7</v>
      </c>
      <c r="D752">
        <v>16.154901959985743</v>
      </c>
      <c r="E752" t="s">
        <v>13</v>
      </c>
      <c r="F752" t="s">
        <v>12</v>
      </c>
      <c r="G752">
        <v>50</v>
      </c>
    </row>
    <row r="753" spans="1:7" x14ac:dyDescent="0.2">
      <c r="A753">
        <f t="shared" si="13"/>
        <v>63</v>
      </c>
      <c r="B753" t="s">
        <v>5</v>
      </c>
      <c r="C753">
        <f>IF(data!$B753&lt;&gt;data!$B752,1,C752+1)</f>
        <v>8</v>
      </c>
      <c r="D753">
        <v>15.596910013008056</v>
      </c>
      <c r="E753" t="s">
        <v>13</v>
      </c>
      <c r="F753" t="s">
        <v>12</v>
      </c>
      <c r="G753">
        <v>50</v>
      </c>
    </row>
    <row r="754" spans="1:7" x14ac:dyDescent="0.2">
      <c r="A754">
        <f t="shared" si="13"/>
        <v>63</v>
      </c>
      <c r="B754" t="s">
        <v>5</v>
      </c>
      <c r="C754">
        <f>IF(data!$B754&lt;&gt;data!$B753,1,C753+1)</f>
        <v>9</v>
      </c>
      <c r="D754">
        <v>15.045757490560675</v>
      </c>
      <c r="E754" t="s">
        <v>13</v>
      </c>
      <c r="F754" t="s">
        <v>12</v>
      </c>
      <c r="G754">
        <v>50</v>
      </c>
    </row>
    <row r="755" spans="1:7" x14ac:dyDescent="0.2">
      <c r="A755">
        <f t="shared" si="13"/>
        <v>63</v>
      </c>
      <c r="B755" t="s">
        <v>5</v>
      </c>
      <c r="C755">
        <f>IF(data!$B755&lt;&gt;data!$B754,1,C754+1)</f>
        <v>10</v>
      </c>
      <c r="D755">
        <v>14.5</v>
      </c>
      <c r="E755" t="s">
        <v>13</v>
      </c>
      <c r="F755" t="s">
        <v>12</v>
      </c>
      <c r="G755">
        <v>50</v>
      </c>
    </row>
    <row r="756" spans="1:7" x14ac:dyDescent="0.2">
      <c r="A756">
        <f t="shared" si="13"/>
        <v>63</v>
      </c>
      <c r="B756" t="s">
        <v>5</v>
      </c>
      <c r="C756">
        <f>IF(data!$B756&lt;&gt;data!$B755,1,C755+1)</f>
        <v>11</v>
      </c>
      <c r="D756">
        <v>13.958607314841775</v>
      </c>
      <c r="E756" t="s">
        <v>13</v>
      </c>
      <c r="F756" t="s">
        <v>12</v>
      </c>
      <c r="G756">
        <v>50</v>
      </c>
    </row>
    <row r="757" spans="1:7" x14ac:dyDescent="0.2">
      <c r="A757">
        <f t="shared" si="13"/>
        <v>63</v>
      </c>
      <c r="B757" t="s">
        <v>5</v>
      </c>
      <c r="C757">
        <f>IF(data!$B757&lt;&gt;data!$B756,1,C756+1)</f>
        <v>12</v>
      </c>
      <c r="D757">
        <v>13.420818753952375</v>
      </c>
      <c r="E757" t="s">
        <v>13</v>
      </c>
      <c r="F757" t="s">
        <v>12</v>
      </c>
      <c r="G757">
        <v>50</v>
      </c>
    </row>
    <row r="758" spans="1:7" x14ac:dyDescent="0.2">
      <c r="A758">
        <f t="shared" si="13"/>
        <v>64</v>
      </c>
      <c r="B758" t="s">
        <v>6</v>
      </c>
      <c r="C758">
        <f>IF(data!$B758&lt;&gt;data!$B757,1,C757+1)</f>
        <v>1</v>
      </c>
      <c r="D758">
        <v>22</v>
      </c>
      <c r="E758" t="s">
        <v>13</v>
      </c>
      <c r="F758" t="s">
        <v>12</v>
      </c>
      <c r="G758">
        <v>50</v>
      </c>
    </row>
    <row r="759" spans="1:7" x14ac:dyDescent="0.2">
      <c r="A759">
        <f t="shared" si="13"/>
        <v>64</v>
      </c>
      <c r="B759" t="s">
        <v>6</v>
      </c>
      <c r="C759">
        <f>IF(data!$B759&lt;&gt;data!$B758,1,C758+1)</f>
        <v>2</v>
      </c>
      <c r="D759">
        <v>20.498970004336019</v>
      </c>
      <c r="E759" t="s">
        <v>13</v>
      </c>
      <c r="F759" t="s">
        <v>12</v>
      </c>
      <c r="G759">
        <v>50</v>
      </c>
    </row>
    <row r="760" spans="1:7" x14ac:dyDescent="0.2">
      <c r="A760">
        <f t="shared" si="13"/>
        <v>64</v>
      </c>
      <c r="B760" t="s">
        <v>6</v>
      </c>
      <c r="C760">
        <f>IF(data!$B760&lt;&gt;data!$B759,1,C759+1)</f>
        <v>3</v>
      </c>
      <c r="D760">
        <v>19.122878745280339</v>
      </c>
      <c r="E760" t="s">
        <v>13</v>
      </c>
      <c r="F760" t="s">
        <v>12</v>
      </c>
      <c r="G760">
        <v>50</v>
      </c>
    </row>
    <row r="761" spans="1:7" x14ac:dyDescent="0.2">
      <c r="A761">
        <f t="shared" si="13"/>
        <v>64</v>
      </c>
      <c r="B761" t="s">
        <v>6</v>
      </c>
      <c r="C761">
        <f>IF(data!$B761&lt;&gt;data!$B760,1,C760+1)</f>
        <v>4</v>
      </c>
      <c r="D761">
        <v>17.79794000867204</v>
      </c>
      <c r="E761" t="s">
        <v>13</v>
      </c>
      <c r="F761" t="s">
        <v>12</v>
      </c>
      <c r="G761">
        <v>50</v>
      </c>
    </row>
    <row r="762" spans="1:7" x14ac:dyDescent="0.2">
      <c r="A762">
        <f t="shared" si="13"/>
        <v>64</v>
      </c>
      <c r="B762" t="s">
        <v>6</v>
      </c>
      <c r="C762">
        <f>IF(data!$B762&lt;&gt;data!$B761,1,C761+1)</f>
        <v>5</v>
      </c>
      <c r="D762">
        <v>16.501029995663984</v>
      </c>
      <c r="E762" t="s">
        <v>13</v>
      </c>
      <c r="F762" t="s">
        <v>12</v>
      </c>
      <c r="G762">
        <v>50</v>
      </c>
    </row>
    <row r="763" spans="1:7" x14ac:dyDescent="0.2">
      <c r="A763">
        <f t="shared" si="13"/>
        <v>64</v>
      </c>
      <c r="B763" t="s">
        <v>6</v>
      </c>
      <c r="C763">
        <f>IF(data!$B763&lt;&gt;data!$B762,1,C762+1)</f>
        <v>6</v>
      </c>
      <c r="D763">
        <v>15.22184874961636</v>
      </c>
      <c r="E763" t="s">
        <v>13</v>
      </c>
      <c r="F763" t="s">
        <v>12</v>
      </c>
      <c r="G763">
        <v>50</v>
      </c>
    </row>
    <row r="764" spans="1:7" x14ac:dyDescent="0.2">
      <c r="A764">
        <f t="shared" si="13"/>
        <v>64</v>
      </c>
      <c r="B764" t="s">
        <v>6</v>
      </c>
      <c r="C764">
        <f>IF(data!$B764&lt;&gt;data!$B763,1,C763+1)</f>
        <v>7</v>
      </c>
      <c r="D764">
        <v>13.954901959985747</v>
      </c>
      <c r="E764" t="s">
        <v>13</v>
      </c>
      <c r="F764" t="s">
        <v>12</v>
      </c>
      <c r="G764">
        <v>50</v>
      </c>
    </row>
    <row r="765" spans="1:7" x14ac:dyDescent="0.2">
      <c r="A765">
        <f t="shared" si="13"/>
        <v>64</v>
      </c>
      <c r="B765" t="s">
        <v>6</v>
      </c>
      <c r="C765">
        <f>IF(data!$B765&lt;&gt;data!$B764,1,C764+1)</f>
        <v>8</v>
      </c>
      <c r="D765">
        <v>12.696910013008061</v>
      </c>
      <c r="E765" t="s">
        <v>13</v>
      </c>
      <c r="F765" t="s">
        <v>12</v>
      </c>
      <c r="G765">
        <v>50</v>
      </c>
    </row>
    <row r="766" spans="1:7" x14ac:dyDescent="0.2">
      <c r="A766">
        <f t="shared" si="13"/>
        <v>64</v>
      </c>
      <c r="B766" t="s">
        <v>6</v>
      </c>
      <c r="C766">
        <f>IF(data!$B766&lt;&gt;data!$B765,1,C765+1)</f>
        <v>9</v>
      </c>
      <c r="D766">
        <v>11.44575749056068</v>
      </c>
      <c r="E766" t="s">
        <v>13</v>
      </c>
      <c r="F766" t="s">
        <v>12</v>
      </c>
      <c r="G766">
        <v>50</v>
      </c>
    </row>
    <row r="767" spans="1:7" x14ac:dyDescent="0.2">
      <c r="A767">
        <f t="shared" si="13"/>
        <v>64</v>
      </c>
      <c r="B767" t="s">
        <v>6</v>
      </c>
      <c r="C767">
        <f>IF(data!$B767&lt;&gt;data!$B766,1,C766+1)</f>
        <v>10</v>
      </c>
      <c r="D767">
        <v>10.200000000000006</v>
      </c>
      <c r="E767" t="s">
        <v>13</v>
      </c>
      <c r="F767" t="s">
        <v>12</v>
      </c>
      <c r="G767">
        <v>50</v>
      </c>
    </row>
    <row r="768" spans="1:7" x14ac:dyDescent="0.2">
      <c r="A768">
        <f t="shared" si="13"/>
        <v>64</v>
      </c>
      <c r="B768" t="s">
        <v>6</v>
      </c>
      <c r="C768">
        <f>IF(data!$B768&lt;&gt;data!$B767,1,C767+1)</f>
        <v>11</v>
      </c>
      <c r="D768">
        <v>8.9586073148417817</v>
      </c>
      <c r="E768" t="s">
        <v>13</v>
      </c>
      <c r="F768" t="s">
        <v>12</v>
      </c>
      <c r="G768">
        <v>50</v>
      </c>
    </row>
    <row r="769" spans="1:7" x14ac:dyDescent="0.2">
      <c r="A769">
        <f t="shared" si="13"/>
        <v>64</v>
      </c>
      <c r="B769" t="s">
        <v>6</v>
      </c>
      <c r="C769">
        <f>IF(data!$B769&lt;&gt;data!$B768,1,C768+1)</f>
        <v>12</v>
      </c>
      <c r="D769">
        <v>7.7208187539523827</v>
      </c>
      <c r="E769" t="s">
        <v>13</v>
      </c>
      <c r="F769" t="s">
        <v>12</v>
      </c>
      <c r="G769">
        <v>50</v>
      </c>
    </row>
    <row r="770" spans="1:7" x14ac:dyDescent="0.2">
      <c r="A770">
        <f t="shared" si="13"/>
        <v>65</v>
      </c>
      <c r="B770" t="s">
        <v>5</v>
      </c>
      <c r="C770">
        <f>IF(data!$B770&lt;&gt;data!$B769,1,C769+1)</f>
        <v>1</v>
      </c>
      <c r="D770">
        <v>17</v>
      </c>
      <c r="E770" t="s">
        <v>7</v>
      </c>
      <c r="F770" t="s">
        <v>14</v>
      </c>
      <c r="G770">
        <v>50</v>
      </c>
    </row>
    <row r="771" spans="1:7" x14ac:dyDescent="0.2">
      <c r="A771">
        <f t="shared" si="13"/>
        <v>65</v>
      </c>
      <c r="B771" t="s">
        <v>5</v>
      </c>
      <c r="C771">
        <f>IF(data!$B771&lt;&gt;data!$B770,1,C770+1)</f>
        <v>2</v>
      </c>
      <c r="D771">
        <v>16</v>
      </c>
      <c r="E771" t="s">
        <v>7</v>
      </c>
      <c r="F771" t="s">
        <v>14</v>
      </c>
      <c r="G771">
        <v>50</v>
      </c>
    </row>
    <row r="772" spans="1:7" x14ac:dyDescent="0.2">
      <c r="A772">
        <f t="shared" si="13"/>
        <v>65</v>
      </c>
      <c r="B772" t="s">
        <v>5</v>
      </c>
      <c r="C772">
        <f>IF(data!$B772&lt;&gt;data!$B771,1,C771+1)</f>
        <v>3</v>
      </c>
      <c r="D772">
        <v>15</v>
      </c>
      <c r="E772" t="s">
        <v>7</v>
      </c>
      <c r="F772" t="s">
        <v>14</v>
      </c>
      <c r="G772">
        <v>50</v>
      </c>
    </row>
    <row r="773" spans="1:7" x14ac:dyDescent="0.2">
      <c r="A773">
        <f t="shared" si="13"/>
        <v>65</v>
      </c>
      <c r="B773" t="s">
        <v>5</v>
      </c>
      <c r="C773">
        <f>IF(data!$B773&lt;&gt;data!$B772,1,C772+1)</f>
        <v>4</v>
      </c>
      <c r="D773">
        <v>14</v>
      </c>
      <c r="E773" t="s">
        <v>7</v>
      </c>
      <c r="F773" t="s">
        <v>14</v>
      </c>
      <c r="G773">
        <v>50</v>
      </c>
    </row>
    <row r="774" spans="1:7" x14ac:dyDescent="0.2">
      <c r="A774">
        <f t="shared" si="13"/>
        <v>65</v>
      </c>
      <c r="B774" t="s">
        <v>5</v>
      </c>
      <c r="C774">
        <f>IF(data!$B774&lt;&gt;data!$B773,1,C773+1)</f>
        <v>5</v>
      </c>
      <c r="D774">
        <v>13</v>
      </c>
      <c r="E774" t="s">
        <v>7</v>
      </c>
      <c r="F774" t="s">
        <v>14</v>
      </c>
      <c r="G774">
        <v>50</v>
      </c>
    </row>
    <row r="775" spans="1:7" x14ac:dyDescent="0.2">
      <c r="A775">
        <f t="shared" si="13"/>
        <v>65</v>
      </c>
      <c r="B775" t="s">
        <v>5</v>
      </c>
      <c r="C775">
        <f>IF(data!$B775&lt;&gt;data!$B774,1,C774+1)</f>
        <v>6</v>
      </c>
      <c r="D775">
        <v>12</v>
      </c>
      <c r="E775" t="s">
        <v>7</v>
      </c>
      <c r="F775" t="s">
        <v>14</v>
      </c>
      <c r="G775">
        <v>50</v>
      </c>
    </row>
    <row r="776" spans="1:7" x14ac:dyDescent="0.2">
      <c r="A776">
        <f t="shared" si="13"/>
        <v>65</v>
      </c>
      <c r="B776" t="s">
        <v>5</v>
      </c>
      <c r="C776">
        <f>IF(data!$B776&lt;&gt;data!$B775,1,C775+1)</f>
        <v>7</v>
      </c>
      <c r="D776">
        <v>11</v>
      </c>
      <c r="E776" t="s">
        <v>7</v>
      </c>
      <c r="F776" t="s">
        <v>14</v>
      </c>
      <c r="G776">
        <v>50</v>
      </c>
    </row>
    <row r="777" spans="1:7" x14ac:dyDescent="0.2">
      <c r="A777">
        <f t="shared" si="13"/>
        <v>65</v>
      </c>
      <c r="B777" t="s">
        <v>5</v>
      </c>
      <c r="C777">
        <f>IF(data!$B777&lt;&gt;data!$B776,1,C776+1)</f>
        <v>8</v>
      </c>
      <c r="D777">
        <v>10</v>
      </c>
      <c r="E777" t="s">
        <v>7</v>
      </c>
      <c r="F777" t="s">
        <v>14</v>
      </c>
      <c r="G777">
        <v>50</v>
      </c>
    </row>
    <row r="778" spans="1:7" x14ac:dyDescent="0.2">
      <c r="A778">
        <f t="shared" si="13"/>
        <v>65</v>
      </c>
      <c r="B778" t="s">
        <v>5</v>
      </c>
      <c r="C778">
        <f>IF(data!$B778&lt;&gt;data!$B777,1,C777+1)</f>
        <v>9</v>
      </c>
      <c r="D778">
        <v>9</v>
      </c>
      <c r="E778" t="s">
        <v>7</v>
      </c>
      <c r="F778" t="s">
        <v>14</v>
      </c>
      <c r="G778">
        <v>50</v>
      </c>
    </row>
    <row r="779" spans="1:7" x14ac:dyDescent="0.2">
      <c r="A779">
        <f t="shared" si="13"/>
        <v>65</v>
      </c>
      <c r="B779" t="s">
        <v>5</v>
      </c>
      <c r="C779">
        <f>IF(data!$B779&lt;&gt;data!$B778,1,C778+1)</f>
        <v>10</v>
      </c>
      <c r="D779">
        <v>8</v>
      </c>
      <c r="E779" t="s">
        <v>7</v>
      </c>
      <c r="F779" t="s">
        <v>14</v>
      </c>
      <c r="G779">
        <v>50</v>
      </c>
    </row>
    <row r="780" spans="1:7" x14ac:dyDescent="0.2">
      <c r="A780">
        <f t="shared" si="13"/>
        <v>65</v>
      </c>
      <c r="B780" t="s">
        <v>5</v>
      </c>
      <c r="C780">
        <f>IF(data!$B780&lt;&gt;data!$B779,1,C779+1)</f>
        <v>11</v>
      </c>
      <c r="D780">
        <v>7</v>
      </c>
      <c r="E780" t="s">
        <v>7</v>
      </c>
      <c r="F780" t="s">
        <v>14</v>
      </c>
      <c r="G780">
        <v>50</v>
      </c>
    </row>
    <row r="781" spans="1:7" x14ac:dyDescent="0.2">
      <c r="A781">
        <f t="shared" si="13"/>
        <v>65</v>
      </c>
      <c r="B781" t="s">
        <v>5</v>
      </c>
      <c r="C781">
        <f>IF(data!$B781&lt;&gt;data!$B780,1,C780+1)</f>
        <v>12</v>
      </c>
      <c r="D781">
        <v>6</v>
      </c>
      <c r="E781" t="s">
        <v>7</v>
      </c>
      <c r="F781" t="s">
        <v>14</v>
      </c>
      <c r="G781">
        <v>50</v>
      </c>
    </row>
    <row r="782" spans="1:7" x14ac:dyDescent="0.2">
      <c r="A782">
        <f t="shared" si="13"/>
        <v>66</v>
      </c>
      <c r="B782" t="s">
        <v>6</v>
      </c>
      <c r="C782">
        <f>IF(data!$B782&lt;&gt;data!$B781,1,C781+1)</f>
        <v>1</v>
      </c>
      <c r="D782">
        <v>19</v>
      </c>
      <c r="E782" t="s">
        <v>7</v>
      </c>
      <c r="F782" t="s">
        <v>14</v>
      </c>
      <c r="G782">
        <v>50</v>
      </c>
    </row>
    <row r="783" spans="1:7" x14ac:dyDescent="0.2">
      <c r="A783">
        <f t="shared" si="13"/>
        <v>66</v>
      </c>
      <c r="B783" t="s">
        <v>6</v>
      </c>
      <c r="C783">
        <f>IF(data!$B783&lt;&gt;data!$B782,1,C782+1)</f>
        <v>2</v>
      </c>
      <c r="D783">
        <v>17.5</v>
      </c>
      <c r="E783" t="s">
        <v>7</v>
      </c>
      <c r="F783" t="s">
        <v>14</v>
      </c>
      <c r="G783">
        <v>50</v>
      </c>
    </row>
    <row r="784" spans="1:7" x14ac:dyDescent="0.2">
      <c r="A784">
        <f t="shared" si="13"/>
        <v>66</v>
      </c>
      <c r="B784" t="s">
        <v>6</v>
      </c>
      <c r="C784">
        <f>IF(data!$B784&lt;&gt;data!$B783,1,C783+1)</f>
        <v>3</v>
      </c>
      <c r="D784">
        <v>16</v>
      </c>
      <c r="E784" t="s">
        <v>7</v>
      </c>
      <c r="F784" t="s">
        <v>14</v>
      </c>
      <c r="G784">
        <v>50</v>
      </c>
    </row>
    <row r="785" spans="1:7" x14ac:dyDescent="0.2">
      <c r="A785">
        <f t="shared" si="13"/>
        <v>66</v>
      </c>
      <c r="B785" t="s">
        <v>6</v>
      </c>
      <c r="C785">
        <f>IF(data!$B785&lt;&gt;data!$B784,1,C784+1)</f>
        <v>4</v>
      </c>
      <c r="D785">
        <v>14.5</v>
      </c>
      <c r="E785" t="s">
        <v>7</v>
      </c>
      <c r="F785" t="s">
        <v>14</v>
      </c>
      <c r="G785">
        <v>50</v>
      </c>
    </row>
    <row r="786" spans="1:7" x14ac:dyDescent="0.2">
      <c r="A786">
        <f t="shared" si="13"/>
        <v>66</v>
      </c>
      <c r="B786" t="s">
        <v>6</v>
      </c>
      <c r="C786">
        <f>IF(data!$B786&lt;&gt;data!$B785,1,C785+1)</f>
        <v>5</v>
      </c>
      <c r="D786">
        <v>13</v>
      </c>
      <c r="E786" t="s">
        <v>7</v>
      </c>
      <c r="F786" t="s">
        <v>14</v>
      </c>
      <c r="G786">
        <v>50</v>
      </c>
    </row>
    <row r="787" spans="1:7" x14ac:dyDescent="0.2">
      <c r="A787">
        <f t="shared" si="13"/>
        <v>66</v>
      </c>
      <c r="B787" t="s">
        <v>6</v>
      </c>
      <c r="C787">
        <f>IF(data!$B787&lt;&gt;data!$B786,1,C786+1)</f>
        <v>6</v>
      </c>
      <c r="D787">
        <v>11.5</v>
      </c>
      <c r="E787" t="s">
        <v>7</v>
      </c>
      <c r="F787" t="s">
        <v>14</v>
      </c>
      <c r="G787">
        <v>50</v>
      </c>
    </row>
    <row r="788" spans="1:7" x14ac:dyDescent="0.2">
      <c r="A788">
        <f t="shared" si="13"/>
        <v>66</v>
      </c>
      <c r="B788" t="s">
        <v>6</v>
      </c>
      <c r="C788">
        <f>IF(data!$B788&lt;&gt;data!$B787,1,C787+1)</f>
        <v>7</v>
      </c>
      <c r="D788">
        <v>10</v>
      </c>
      <c r="E788" t="s">
        <v>7</v>
      </c>
      <c r="F788" t="s">
        <v>14</v>
      </c>
      <c r="G788">
        <v>50</v>
      </c>
    </row>
    <row r="789" spans="1:7" x14ac:dyDescent="0.2">
      <c r="A789">
        <f t="shared" si="13"/>
        <v>66</v>
      </c>
      <c r="B789" t="s">
        <v>6</v>
      </c>
      <c r="C789">
        <f>IF(data!$B789&lt;&gt;data!$B788,1,C788+1)</f>
        <v>8</v>
      </c>
      <c r="D789">
        <v>8.5</v>
      </c>
      <c r="E789" t="s">
        <v>7</v>
      </c>
      <c r="F789" t="s">
        <v>14</v>
      </c>
      <c r="G789">
        <v>50</v>
      </c>
    </row>
    <row r="790" spans="1:7" x14ac:dyDescent="0.2">
      <c r="A790">
        <f t="shared" si="13"/>
        <v>66</v>
      </c>
      <c r="B790" t="s">
        <v>6</v>
      </c>
      <c r="C790">
        <f>IF(data!$B790&lt;&gt;data!$B789,1,C789+1)</f>
        <v>9</v>
      </c>
      <c r="D790">
        <v>7</v>
      </c>
      <c r="E790" t="s">
        <v>7</v>
      </c>
      <c r="F790" t="s">
        <v>14</v>
      </c>
      <c r="G790">
        <v>50</v>
      </c>
    </row>
    <row r="791" spans="1:7" x14ac:dyDescent="0.2">
      <c r="A791">
        <f t="shared" si="13"/>
        <v>66</v>
      </c>
      <c r="B791" t="s">
        <v>6</v>
      </c>
      <c r="C791">
        <f>IF(data!$B791&lt;&gt;data!$B790,1,C790+1)</f>
        <v>10</v>
      </c>
      <c r="D791">
        <v>5.5</v>
      </c>
      <c r="E791" t="s">
        <v>7</v>
      </c>
      <c r="F791" t="s">
        <v>14</v>
      </c>
      <c r="G791">
        <v>50</v>
      </c>
    </row>
    <row r="792" spans="1:7" x14ac:dyDescent="0.2">
      <c r="A792">
        <f t="shared" si="13"/>
        <v>66</v>
      </c>
      <c r="B792" t="s">
        <v>6</v>
      </c>
      <c r="C792">
        <f>IF(data!$B792&lt;&gt;data!$B791,1,C791+1)</f>
        <v>11</v>
      </c>
      <c r="D792">
        <v>4</v>
      </c>
      <c r="E792" t="s">
        <v>7</v>
      </c>
      <c r="F792" t="s">
        <v>14</v>
      </c>
      <c r="G792">
        <v>50</v>
      </c>
    </row>
    <row r="793" spans="1:7" x14ac:dyDescent="0.2">
      <c r="A793">
        <f t="shared" si="13"/>
        <v>66</v>
      </c>
      <c r="B793" t="s">
        <v>6</v>
      </c>
      <c r="C793">
        <f>IF(data!$B793&lt;&gt;data!$B792,1,C792+1)</f>
        <v>12</v>
      </c>
      <c r="D793">
        <v>2.5</v>
      </c>
      <c r="E793" t="s">
        <v>7</v>
      </c>
      <c r="F793" t="s">
        <v>14</v>
      </c>
      <c r="G793">
        <v>50</v>
      </c>
    </row>
    <row r="794" spans="1:7" x14ac:dyDescent="0.2">
      <c r="A794">
        <f t="shared" si="13"/>
        <v>67</v>
      </c>
      <c r="B794" t="s">
        <v>5</v>
      </c>
      <c r="C794">
        <f>IF(data!$B794&lt;&gt;data!$B793,1,C793+1)</f>
        <v>1</v>
      </c>
      <c r="D794">
        <v>18</v>
      </c>
      <c r="E794" t="s">
        <v>13</v>
      </c>
      <c r="F794" t="s">
        <v>14</v>
      </c>
      <c r="G794">
        <v>50</v>
      </c>
    </row>
    <row r="795" spans="1:7" x14ac:dyDescent="0.2">
      <c r="A795">
        <f t="shared" si="13"/>
        <v>67</v>
      </c>
      <c r="B795" t="s">
        <v>5</v>
      </c>
      <c r="C795">
        <f>IF(data!$B795&lt;&gt;data!$B794,1,C794+1)</f>
        <v>2</v>
      </c>
      <c r="D795">
        <v>17.5</v>
      </c>
      <c r="E795" t="s">
        <v>13</v>
      </c>
      <c r="F795" t="s">
        <v>14</v>
      </c>
      <c r="G795">
        <v>50</v>
      </c>
    </row>
    <row r="796" spans="1:7" x14ac:dyDescent="0.2">
      <c r="A796">
        <f t="shared" si="13"/>
        <v>67</v>
      </c>
      <c r="B796" t="s">
        <v>5</v>
      </c>
      <c r="C796">
        <f>IF(data!$B796&lt;&gt;data!$B795,1,C795+1)</f>
        <v>3</v>
      </c>
      <c r="D796">
        <v>17</v>
      </c>
      <c r="E796" t="s">
        <v>13</v>
      </c>
      <c r="F796" t="s">
        <v>14</v>
      </c>
      <c r="G796">
        <v>50</v>
      </c>
    </row>
    <row r="797" spans="1:7" x14ac:dyDescent="0.2">
      <c r="A797">
        <f t="shared" si="13"/>
        <v>67</v>
      </c>
      <c r="B797" t="s">
        <v>5</v>
      </c>
      <c r="C797">
        <f>IF(data!$B797&lt;&gt;data!$B796,1,C796+1)</f>
        <v>4</v>
      </c>
      <c r="D797">
        <v>16.5</v>
      </c>
      <c r="E797" t="s">
        <v>13</v>
      </c>
      <c r="F797" t="s">
        <v>14</v>
      </c>
      <c r="G797">
        <v>50</v>
      </c>
    </row>
    <row r="798" spans="1:7" x14ac:dyDescent="0.2">
      <c r="A798">
        <f t="shared" si="13"/>
        <v>67</v>
      </c>
      <c r="B798" t="s">
        <v>5</v>
      </c>
      <c r="C798">
        <f>IF(data!$B798&lt;&gt;data!$B797,1,C797+1)</f>
        <v>5</v>
      </c>
      <c r="D798">
        <v>16</v>
      </c>
      <c r="E798" t="s">
        <v>13</v>
      </c>
      <c r="F798" t="s">
        <v>14</v>
      </c>
      <c r="G798">
        <v>50</v>
      </c>
    </row>
    <row r="799" spans="1:7" x14ac:dyDescent="0.2">
      <c r="A799">
        <f t="shared" si="13"/>
        <v>67</v>
      </c>
      <c r="B799" t="s">
        <v>5</v>
      </c>
      <c r="C799">
        <f>IF(data!$B799&lt;&gt;data!$B798,1,C798+1)</f>
        <v>6</v>
      </c>
      <c r="D799">
        <v>15.5</v>
      </c>
      <c r="E799" t="s">
        <v>13</v>
      </c>
      <c r="F799" t="s">
        <v>14</v>
      </c>
      <c r="G799">
        <v>50</v>
      </c>
    </row>
    <row r="800" spans="1:7" x14ac:dyDescent="0.2">
      <c r="A800">
        <f t="shared" si="13"/>
        <v>67</v>
      </c>
      <c r="B800" t="s">
        <v>5</v>
      </c>
      <c r="C800">
        <f>IF(data!$B800&lt;&gt;data!$B799,1,C799+1)</f>
        <v>7</v>
      </c>
      <c r="D800">
        <v>15</v>
      </c>
      <c r="E800" t="s">
        <v>13</v>
      </c>
      <c r="F800" t="s">
        <v>14</v>
      </c>
      <c r="G800">
        <v>50</v>
      </c>
    </row>
    <row r="801" spans="1:7" x14ac:dyDescent="0.2">
      <c r="A801">
        <f t="shared" si="13"/>
        <v>67</v>
      </c>
      <c r="B801" t="s">
        <v>5</v>
      </c>
      <c r="C801">
        <f>IF(data!$B801&lt;&gt;data!$B800,1,C800+1)</f>
        <v>8</v>
      </c>
      <c r="D801">
        <v>14.5</v>
      </c>
      <c r="E801" t="s">
        <v>13</v>
      </c>
      <c r="F801" t="s">
        <v>14</v>
      </c>
      <c r="G801">
        <v>50</v>
      </c>
    </row>
    <row r="802" spans="1:7" x14ac:dyDescent="0.2">
      <c r="A802">
        <f t="shared" ref="A802:A866" si="14">IF(B802=B801,A801,A801+1)</f>
        <v>67</v>
      </c>
      <c r="B802" t="s">
        <v>5</v>
      </c>
      <c r="C802">
        <f>IF(data!$B802&lt;&gt;data!$B801,1,C801+1)</f>
        <v>9</v>
      </c>
      <c r="D802">
        <v>14</v>
      </c>
      <c r="E802" t="s">
        <v>13</v>
      </c>
      <c r="F802" t="s">
        <v>14</v>
      </c>
      <c r="G802">
        <v>50</v>
      </c>
    </row>
    <row r="803" spans="1:7" x14ac:dyDescent="0.2">
      <c r="A803">
        <f t="shared" si="14"/>
        <v>67</v>
      </c>
      <c r="B803" t="s">
        <v>5</v>
      </c>
      <c r="C803">
        <f>IF(data!$B803&lt;&gt;data!$B802,1,C802+1)</f>
        <v>10</v>
      </c>
      <c r="D803">
        <v>13.5</v>
      </c>
      <c r="E803" t="s">
        <v>13</v>
      </c>
      <c r="F803" t="s">
        <v>14</v>
      </c>
      <c r="G803">
        <v>50</v>
      </c>
    </row>
    <row r="804" spans="1:7" x14ac:dyDescent="0.2">
      <c r="A804">
        <f t="shared" si="14"/>
        <v>67</v>
      </c>
      <c r="B804" t="s">
        <v>5</v>
      </c>
      <c r="C804">
        <f>IF(data!$B804&lt;&gt;data!$B803,1,C803+1)</f>
        <v>11</v>
      </c>
      <c r="D804">
        <v>13</v>
      </c>
      <c r="E804" t="s">
        <v>13</v>
      </c>
      <c r="F804" t="s">
        <v>14</v>
      </c>
      <c r="G804">
        <v>50</v>
      </c>
    </row>
    <row r="805" spans="1:7" x14ac:dyDescent="0.2">
      <c r="A805">
        <f t="shared" si="14"/>
        <v>67</v>
      </c>
      <c r="B805" t="s">
        <v>5</v>
      </c>
      <c r="C805">
        <f>IF(data!$B805&lt;&gt;data!$B804,1,C804+1)</f>
        <v>12</v>
      </c>
      <c r="D805">
        <v>12.5</v>
      </c>
      <c r="E805" t="s">
        <v>13</v>
      </c>
      <c r="F805" t="s">
        <v>14</v>
      </c>
      <c r="G805">
        <v>50</v>
      </c>
    </row>
    <row r="806" spans="1:7" x14ac:dyDescent="0.2">
      <c r="A806">
        <f t="shared" si="14"/>
        <v>68</v>
      </c>
      <c r="B806" t="s">
        <v>6</v>
      </c>
      <c r="C806">
        <f>IF(data!$B806&lt;&gt;data!$B805,1,C805+1)</f>
        <v>1</v>
      </c>
      <c r="D806">
        <v>20</v>
      </c>
      <c r="E806" t="s">
        <v>13</v>
      </c>
      <c r="F806" t="s">
        <v>14</v>
      </c>
      <c r="G806">
        <v>50</v>
      </c>
    </row>
    <row r="807" spans="1:7" x14ac:dyDescent="0.2">
      <c r="A807">
        <f t="shared" si="14"/>
        <v>68</v>
      </c>
      <c r="B807" t="s">
        <v>6</v>
      </c>
      <c r="C807">
        <f>IF(data!$B807&lt;&gt;data!$B806,1,C806+1)</f>
        <v>2</v>
      </c>
      <c r="D807">
        <v>18.8</v>
      </c>
      <c r="E807" t="s">
        <v>13</v>
      </c>
      <c r="F807" t="s">
        <v>14</v>
      </c>
      <c r="G807">
        <v>50</v>
      </c>
    </row>
    <row r="808" spans="1:7" x14ac:dyDescent="0.2">
      <c r="A808">
        <f t="shared" si="14"/>
        <v>68</v>
      </c>
      <c r="B808" t="s">
        <v>6</v>
      </c>
      <c r="C808">
        <f>IF(data!$B808&lt;&gt;data!$B807,1,C807+1)</f>
        <v>3</v>
      </c>
      <c r="D808">
        <v>17.600000000000001</v>
      </c>
      <c r="E808" t="s">
        <v>13</v>
      </c>
      <c r="F808" t="s">
        <v>14</v>
      </c>
      <c r="G808">
        <v>50</v>
      </c>
    </row>
    <row r="809" spans="1:7" x14ac:dyDescent="0.2">
      <c r="A809">
        <f t="shared" si="14"/>
        <v>68</v>
      </c>
      <c r="B809" t="s">
        <v>6</v>
      </c>
      <c r="C809">
        <f>IF(data!$B809&lt;&gt;data!$B808,1,C808+1)</f>
        <v>4</v>
      </c>
      <c r="D809">
        <v>16.400000000000002</v>
      </c>
      <c r="E809" t="s">
        <v>13</v>
      </c>
      <c r="F809" t="s">
        <v>14</v>
      </c>
      <c r="G809">
        <v>50</v>
      </c>
    </row>
    <row r="810" spans="1:7" x14ac:dyDescent="0.2">
      <c r="A810">
        <f t="shared" si="14"/>
        <v>68</v>
      </c>
      <c r="B810" t="s">
        <v>6</v>
      </c>
      <c r="C810">
        <f>IF(data!$B810&lt;&gt;data!$B809,1,C809+1)</f>
        <v>5</v>
      </c>
      <c r="D810">
        <v>15.200000000000003</v>
      </c>
      <c r="E810" t="s">
        <v>13</v>
      </c>
      <c r="F810" t="s">
        <v>14</v>
      </c>
      <c r="G810">
        <v>50</v>
      </c>
    </row>
    <row r="811" spans="1:7" x14ac:dyDescent="0.2">
      <c r="A811">
        <f t="shared" si="14"/>
        <v>68</v>
      </c>
      <c r="B811" t="s">
        <v>6</v>
      </c>
      <c r="C811">
        <f>IF(data!$B811&lt;&gt;data!$B810,1,C810+1)</f>
        <v>6</v>
      </c>
      <c r="D811">
        <v>14.000000000000004</v>
      </c>
      <c r="E811" t="s">
        <v>13</v>
      </c>
      <c r="F811" t="s">
        <v>14</v>
      </c>
      <c r="G811">
        <v>50</v>
      </c>
    </row>
    <row r="812" spans="1:7" x14ac:dyDescent="0.2">
      <c r="A812">
        <f t="shared" si="14"/>
        <v>68</v>
      </c>
      <c r="B812" t="s">
        <v>6</v>
      </c>
      <c r="C812">
        <f>IF(data!$B812&lt;&gt;data!$B811,1,C811+1)</f>
        <v>7</v>
      </c>
      <c r="D812">
        <v>12.800000000000004</v>
      </c>
      <c r="E812" t="s">
        <v>13</v>
      </c>
      <c r="F812" t="s">
        <v>14</v>
      </c>
      <c r="G812">
        <v>50</v>
      </c>
    </row>
    <row r="813" spans="1:7" x14ac:dyDescent="0.2">
      <c r="A813">
        <f t="shared" si="14"/>
        <v>68</v>
      </c>
      <c r="B813" t="s">
        <v>6</v>
      </c>
      <c r="C813">
        <f>IF(data!$B813&lt;&gt;data!$B812,1,C812+1)</f>
        <v>8</v>
      </c>
      <c r="D813">
        <v>11.600000000000005</v>
      </c>
      <c r="E813" t="s">
        <v>13</v>
      </c>
      <c r="F813" t="s">
        <v>14</v>
      </c>
      <c r="G813">
        <v>50</v>
      </c>
    </row>
    <row r="814" spans="1:7" x14ac:dyDescent="0.2">
      <c r="A814">
        <f t="shared" si="14"/>
        <v>68</v>
      </c>
      <c r="B814" t="s">
        <v>6</v>
      </c>
      <c r="C814">
        <f>IF(data!$B814&lt;&gt;data!$B813,1,C813+1)</f>
        <v>9</v>
      </c>
      <c r="D814">
        <v>10.400000000000006</v>
      </c>
      <c r="E814" t="s">
        <v>13</v>
      </c>
      <c r="F814" t="s">
        <v>14</v>
      </c>
      <c r="G814">
        <v>50</v>
      </c>
    </row>
    <row r="815" spans="1:7" x14ac:dyDescent="0.2">
      <c r="A815">
        <f t="shared" si="14"/>
        <v>68</v>
      </c>
      <c r="B815" t="s">
        <v>6</v>
      </c>
      <c r="C815">
        <f>IF(data!$B815&lt;&gt;data!$B814,1,C814+1)</f>
        <v>10</v>
      </c>
      <c r="D815">
        <v>9.2000000000000064</v>
      </c>
      <c r="E815" t="s">
        <v>13</v>
      </c>
      <c r="F815" t="s">
        <v>14</v>
      </c>
      <c r="G815">
        <v>50</v>
      </c>
    </row>
    <row r="816" spans="1:7" x14ac:dyDescent="0.2">
      <c r="A816">
        <f t="shared" si="14"/>
        <v>68</v>
      </c>
      <c r="B816" t="s">
        <v>6</v>
      </c>
      <c r="C816">
        <f>IF(data!$B816&lt;&gt;data!$B815,1,C815+1)</f>
        <v>11</v>
      </c>
      <c r="D816">
        <v>8.0000000000000071</v>
      </c>
      <c r="E816" t="s">
        <v>13</v>
      </c>
      <c r="F816" t="s">
        <v>14</v>
      </c>
      <c r="G816">
        <v>50</v>
      </c>
    </row>
    <row r="817" spans="1:7" x14ac:dyDescent="0.2">
      <c r="A817">
        <f t="shared" si="14"/>
        <v>68</v>
      </c>
      <c r="B817" t="s">
        <v>6</v>
      </c>
      <c r="C817">
        <f>IF(data!$B817&lt;&gt;data!$B816,1,C816+1)</f>
        <v>12</v>
      </c>
      <c r="D817">
        <v>6.8000000000000069</v>
      </c>
      <c r="E817" t="s">
        <v>13</v>
      </c>
      <c r="F817" t="s">
        <v>14</v>
      </c>
      <c r="G817">
        <v>50</v>
      </c>
    </row>
    <row r="818" spans="1:7" x14ac:dyDescent="0.2">
      <c r="A818">
        <f t="shared" si="14"/>
        <v>69</v>
      </c>
      <c r="B818" t="s">
        <v>5</v>
      </c>
      <c r="C818">
        <f>IF(data!$B818&lt;&gt;data!$B817,1,C817+1)</f>
        <v>1</v>
      </c>
      <c r="D818">
        <v>17</v>
      </c>
      <c r="E818" t="s">
        <v>7</v>
      </c>
      <c r="F818" t="s">
        <v>12</v>
      </c>
      <c r="G818">
        <v>50</v>
      </c>
    </row>
    <row r="819" spans="1:7" x14ac:dyDescent="0.2">
      <c r="A819">
        <f t="shared" si="14"/>
        <v>69</v>
      </c>
      <c r="B819" t="s">
        <v>5</v>
      </c>
      <c r="C819">
        <f>IF(data!$B819&lt;&gt;data!$B818,1,C818+1)</f>
        <v>2</v>
      </c>
      <c r="D819">
        <v>15.698970004336019</v>
      </c>
      <c r="E819" t="s">
        <v>7</v>
      </c>
      <c r="F819" t="s">
        <v>12</v>
      </c>
      <c r="G819">
        <v>50</v>
      </c>
    </row>
    <row r="820" spans="1:7" x14ac:dyDescent="0.2">
      <c r="A820">
        <f t="shared" si="14"/>
        <v>69</v>
      </c>
      <c r="B820" t="s">
        <v>5</v>
      </c>
      <c r="C820">
        <f>IF(data!$B820&lt;&gt;data!$B819,1,C819+1)</f>
        <v>3</v>
      </c>
      <c r="D820">
        <v>14.522878745280337</v>
      </c>
      <c r="E820" t="s">
        <v>7</v>
      </c>
      <c r="F820" t="s">
        <v>12</v>
      </c>
      <c r="G820">
        <v>50</v>
      </c>
    </row>
    <row r="821" spans="1:7" x14ac:dyDescent="0.2">
      <c r="A821">
        <f t="shared" si="14"/>
        <v>69</v>
      </c>
      <c r="B821" t="s">
        <v>5</v>
      </c>
      <c r="C821">
        <f>IF(data!$B821&lt;&gt;data!$B820,1,C820+1)</f>
        <v>4</v>
      </c>
      <c r="D821">
        <v>13.397940008672037</v>
      </c>
      <c r="E821" t="s">
        <v>7</v>
      </c>
      <c r="F821" t="s">
        <v>12</v>
      </c>
      <c r="G821">
        <v>50</v>
      </c>
    </row>
    <row r="822" spans="1:7" x14ac:dyDescent="0.2">
      <c r="A822">
        <f t="shared" si="14"/>
        <v>69</v>
      </c>
      <c r="B822" t="s">
        <v>5</v>
      </c>
      <c r="C822">
        <f>IF(data!$B822&lt;&gt;data!$B821,1,C821+1)</f>
        <v>5</v>
      </c>
      <c r="D822">
        <v>12.301029995663981</v>
      </c>
      <c r="E822" t="s">
        <v>7</v>
      </c>
      <c r="F822" t="s">
        <v>12</v>
      </c>
      <c r="G822">
        <v>50</v>
      </c>
    </row>
    <row r="823" spans="1:7" x14ac:dyDescent="0.2">
      <c r="A823">
        <f t="shared" si="14"/>
        <v>69</v>
      </c>
      <c r="B823" t="s">
        <v>5</v>
      </c>
      <c r="C823">
        <f>IF(data!$B823&lt;&gt;data!$B822,1,C822+1)</f>
        <v>6</v>
      </c>
      <c r="D823">
        <v>11.221848749616356</v>
      </c>
      <c r="E823" t="s">
        <v>7</v>
      </c>
      <c r="F823" t="s">
        <v>12</v>
      </c>
      <c r="G823">
        <v>50</v>
      </c>
    </row>
    <row r="824" spans="1:7" x14ac:dyDescent="0.2">
      <c r="A824">
        <f t="shared" si="14"/>
        <v>69</v>
      </c>
      <c r="B824" t="s">
        <v>5</v>
      </c>
      <c r="C824">
        <f>IF(data!$B824&lt;&gt;data!$B823,1,C823+1)</f>
        <v>7</v>
      </c>
      <c r="D824">
        <v>10.154901959985743</v>
      </c>
      <c r="E824" t="s">
        <v>7</v>
      </c>
      <c r="F824" t="s">
        <v>12</v>
      </c>
      <c r="G824">
        <v>50</v>
      </c>
    </row>
    <row r="825" spans="1:7" x14ac:dyDescent="0.2">
      <c r="A825">
        <f t="shared" si="14"/>
        <v>69</v>
      </c>
      <c r="B825" t="s">
        <v>5</v>
      </c>
      <c r="C825">
        <f>IF(data!$B825&lt;&gt;data!$B824,1,C824+1)</f>
        <v>8</v>
      </c>
      <c r="D825">
        <v>9.0969100130080562</v>
      </c>
      <c r="E825" t="s">
        <v>7</v>
      </c>
      <c r="F825" t="s">
        <v>12</v>
      </c>
      <c r="G825">
        <v>50</v>
      </c>
    </row>
    <row r="826" spans="1:7" x14ac:dyDescent="0.2">
      <c r="A826">
        <f t="shared" si="14"/>
        <v>69</v>
      </c>
      <c r="B826" t="s">
        <v>5</v>
      </c>
      <c r="C826">
        <f>IF(data!$B826&lt;&gt;data!$B825,1,C825+1)</f>
        <v>9</v>
      </c>
      <c r="D826">
        <v>8.0457574905606748</v>
      </c>
      <c r="E826" t="s">
        <v>7</v>
      </c>
      <c r="F826" t="s">
        <v>12</v>
      </c>
      <c r="G826">
        <v>50</v>
      </c>
    </row>
    <row r="827" spans="1:7" x14ac:dyDescent="0.2">
      <c r="A827">
        <f t="shared" si="14"/>
        <v>69</v>
      </c>
      <c r="B827" t="s">
        <v>5</v>
      </c>
      <c r="C827">
        <f>IF(data!$B827&lt;&gt;data!$B826,1,C826+1)</f>
        <v>10</v>
      </c>
      <c r="D827">
        <v>7</v>
      </c>
      <c r="E827" t="s">
        <v>7</v>
      </c>
      <c r="F827" t="s">
        <v>12</v>
      </c>
      <c r="G827">
        <v>50</v>
      </c>
    </row>
    <row r="828" spans="1:7" x14ac:dyDescent="0.2">
      <c r="A828">
        <f t="shared" si="14"/>
        <v>69</v>
      </c>
      <c r="B828" t="s">
        <v>5</v>
      </c>
      <c r="C828">
        <f>IF(data!$B828&lt;&gt;data!$B827,1,C827+1)</f>
        <v>11</v>
      </c>
      <c r="D828">
        <v>5.9586073148417746</v>
      </c>
      <c r="E828" t="s">
        <v>7</v>
      </c>
      <c r="F828" t="s">
        <v>12</v>
      </c>
      <c r="G828">
        <v>50</v>
      </c>
    </row>
    <row r="829" spans="1:7" x14ac:dyDescent="0.2">
      <c r="A829">
        <f t="shared" si="14"/>
        <v>69</v>
      </c>
      <c r="B829" t="s">
        <v>5</v>
      </c>
      <c r="C829">
        <f>IF(data!$B829&lt;&gt;data!$B828,1,C828+1)</f>
        <v>12</v>
      </c>
      <c r="D829">
        <v>4.9208187539523749</v>
      </c>
      <c r="E829" t="s">
        <v>7</v>
      </c>
      <c r="F829" t="s">
        <v>12</v>
      </c>
      <c r="G829">
        <v>50</v>
      </c>
    </row>
    <row r="830" spans="1:7" x14ac:dyDescent="0.2">
      <c r="A830">
        <f t="shared" si="14"/>
        <v>70</v>
      </c>
      <c r="B830" t="s">
        <v>6</v>
      </c>
      <c r="C830">
        <f>IF(data!$B830&lt;&gt;data!$B829,1,C829+1)</f>
        <v>1</v>
      </c>
      <c r="D830">
        <v>19</v>
      </c>
      <c r="E830" t="s">
        <v>7</v>
      </c>
      <c r="F830" t="s">
        <v>12</v>
      </c>
      <c r="G830">
        <v>50</v>
      </c>
    </row>
    <row r="831" spans="1:7" x14ac:dyDescent="0.2">
      <c r="A831">
        <f t="shared" si="14"/>
        <v>70</v>
      </c>
      <c r="B831" t="s">
        <v>6</v>
      </c>
      <c r="C831">
        <f>IF(data!$B831&lt;&gt;data!$B830,1,C830+1)</f>
        <v>2</v>
      </c>
      <c r="D831">
        <v>17.198970004336019</v>
      </c>
      <c r="E831" t="s">
        <v>7</v>
      </c>
      <c r="F831" t="s">
        <v>12</v>
      </c>
      <c r="G831">
        <v>50</v>
      </c>
    </row>
    <row r="832" spans="1:7" x14ac:dyDescent="0.2">
      <c r="A832">
        <f t="shared" si="14"/>
        <v>70</v>
      </c>
      <c r="B832" t="s">
        <v>6</v>
      </c>
      <c r="C832">
        <f>IF(data!$B832&lt;&gt;data!$B831,1,C831+1)</f>
        <v>3</v>
      </c>
      <c r="D832">
        <v>15.522878745280337</v>
      </c>
      <c r="E832" t="s">
        <v>7</v>
      </c>
      <c r="F832" t="s">
        <v>12</v>
      </c>
      <c r="G832">
        <v>50</v>
      </c>
    </row>
    <row r="833" spans="1:7" x14ac:dyDescent="0.2">
      <c r="A833">
        <f t="shared" si="14"/>
        <v>70</v>
      </c>
      <c r="B833" t="s">
        <v>6</v>
      </c>
      <c r="C833">
        <f>IF(data!$B833&lt;&gt;data!$B832,1,C832+1)</f>
        <v>4</v>
      </c>
      <c r="D833">
        <v>13.897940008672037</v>
      </c>
      <c r="E833" t="s">
        <v>7</v>
      </c>
      <c r="F833" t="s">
        <v>12</v>
      </c>
      <c r="G833">
        <v>50</v>
      </c>
    </row>
    <row r="834" spans="1:7" x14ac:dyDescent="0.2">
      <c r="A834">
        <f t="shared" si="14"/>
        <v>70</v>
      </c>
      <c r="B834" t="s">
        <v>6</v>
      </c>
      <c r="C834">
        <f>IF(data!$B834&lt;&gt;data!$B833,1,C833+1)</f>
        <v>5</v>
      </c>
      <c r="D834">
        <v>12.301029995663981</v>
      </c>
      <c r="E834" t="s">
        <v>7</v>
      </c>
      <c r="F834" t="s">
        <v>12</v>
      </c>
      <c r="G834">
        <v>50</v>
      </c>
    </row>
    <row r="835" spans="1:7" x14ac:dyDescent="0.2">
      <c r="A835">
        <f t="shared" si="14"/>
        <v>70</v>
      </c>
      <c r="B835" t="s">
        <v>6</v>
      </c>
      <c r="C835">
        <f>IF(data!$B835&lt;&gt;data!$B834,1,C834+1)</f>
        <v>6</v>
      </c>
      <c r="D835">
        <v>10.721848749616356</v>
      </c>
      <c r="E835" t="s">
        <v>7</v>
      </c>
      <c r="F835" t="s">
        <v>12</v>
      </c>
      <c r="G835">
        <v>50</v>
      </c>
    </row>
    <row r="836" spans="1:7" x14ac:dyDescent="0.2">
      <c r="A836">
        <f t="shared" si="14"/>
        <v>70</v>
      </c>
      <c r="B836" t="s">
        <v>6</v>
      </c>
      <c r="C836">
        <f>IF(data!$B836&lt;&gt;data!$B835,1,C835+1)</f>
        <v>7</v>
      </c>
      <c r="D836">
        <v>9.1549019599857431</v>
      </c>
      <c r="E836" t="s">
        <v>7</v>
      </c>
      <c r="F836" t="s">
        <v>12</v>
      </c>
      <c r="G836">
        <v>50</v>
      </c>
    </row>
    <row r="837" spans="1:7" x14ac:dyDescent="0.2">
      <c r="A837">
        <f t="shared" si="14"/>
        <v>70</v>
      </c>
      <c r="B837" t="s">
        <v>6</v>
      </c>
      <c r="C837">
        <f>IF(data!$B837&lt;&gt;data!$B836,1,C836+1)</f>
        <v>8</v>
      </c>
      <c r="D837">
        <v>7.5969100130080562</v>
      </c>
      <c r="E837" t="s">
        <v>7</v>
      </c>
      <c r="F837" t="s">
        <v>12</v>
      </c>
      <c r="G837">
        <v>50</v>
      </c>
    </row>
    <row r="838" spans="1:7" x14ac:dyDescent="0.2">
      <c r="A838">
        <f t="shared" si="14"/>
        <v>70</v>
      </c>
      <c r="B838" t="s">
        <v>6</v>
      </c>
      <c r="C838">
        <f>IF(data!$B838&lt;&gt;data!$B837,1,C837+1)</f>
        <v>9</v>
      </c>
      <c r="D838">
        <v>6.0457574905606748</v>
      </c>
      <c r="E838" t="s">
        <v>7</v>
      </c>
      <c r="F838" t="s">
        <v>12</v>
      </c>
      <c r="G838">
        <v>50</v>
      </c>
    </row>
    <row r="839" spans="1:7" x14ac:dyDescent="0.2">
      <c r="A839">
        <f t="shared" si="14"/>
        <v>70</v>
      </c>
      <c r="B839" t="s">
        <v>6</v>
      </c>
      <c r="C839">
        <f>IF(data!$B839&lt;&gt;data!$B838,1,C838+1)</f>
        <v>10</v>
      </c>
      <c r="D839">
        <v>4.5</v>
      </c>
      <c r="E839" t="s">
        <v>7</v>
      </c>
      <c r="F839" t="s">
        <v>12</v>
      </c>
      <c r="G839">
        <v>50</v>
      </c>
    </row>
    <row r="840" spans="1:7" x14ac:dyDescent="0.2">
      <c r="A840">
        <f t="shared" si="14"/>
        <v>70</v>
      </c>
      <c r="B840" t="s">
        <v>6</v>
      </c>
      <c r="C840">
        <f>IF(data!$B840&lt;&gt;data!$B839,1,C839+1)</f>
        <v>11</v>
      </c>
      <c r="D840">
        <v>2.9586073148417746</v>
      </c>
      <c r="E840" t="s">
        <v>7</v>
      </c>
      <c r="F840" t="s">
        <v>12</v>
      </c>
      <c r="G840">
        <v>50</v>
      </c>
    </row>
    <row r="841" spans="1:7" x14ac:dyDescent="0.2">
      <c r="A841">
        <f t="shared" si="14"/>
        <v>70</v>
      </c>
      <c r="B841" t="s">
        <v>6</v>
      </c>
      <c r="C841">
        <f>IF(data!$B841&lt;&gt;data!$B840,1,C840+1)</f>
        <v>12</v>
      </c>
      <c r="D841">
        <v>1.4208187539523751</v>
      </c>
      <c r="E841" t="s">
        <v>7</v>
      </c>
      <c r="F841" t="s">
        <v>12</v>
      </c>
      <c r="G841">
        <v>50</v>
      </c>
    </row>
    <row r="842" spans="1:7" x14ac:dyDescent="0.2">
      <c r="A842">
        <f t="shared" si="14"/>
        <v>71</v>
      </c>
      <c r="B842" t="s">
        <v>5</v>
      </c>
      <c r="C842">
        <f>IF(data!$B842&lt;&gt;data!$B841,1,C841+1)</f>
        <v>1</v>
      </c>
      <c r="D842">
        <v>18</v>
      </c>
      <c r="E842" t="s">
        <v>13</v>
      </c>
      <c r="F842" t="s">
        <v>12</v>
      </c>
      <c r="G842">
        <v>50</v>
      </c>
    </row>
    <row r="843" spans="1:7" x14ac:dyDescent="0.2">
      <c r="A843">
        <f t="shared" si="14"/>
        <v>71</v>
      </c>
      <c r="B843" t="s">
        <v>5</v>
      </c>
      <c r="C843">
        <f>IF(data!$B843&lt;&gt;data!$B842,1,C842+1)</f>
        <v>2</v>
      </c>
      <c r="D843">
        <v>17.198970004336019</v>
      </c>
      <c r="E843" t="s">
        <v>13</v>
      </c>
      <c r="F843" t="s">
        <v>12</v>
      </c>
      <c r="G843">
        <v>50</v>
      </c>
    </row>
    <row r="844" spans="1:7" x14ac:dyDescent="0.2">
      <c r="A844">
        <f t="shared" si="14"/>
        <v>71</v>
      </c>
      <c r="B844" t="s">
        <v>5</v>
      </c>
      <c r="C844">
        <f>IF(data!$B844&lt;&gt;data!$B843,1,C843+1)</f>
        <v>3</v>
      </c>
      <c r="D844">
        <v>16.522878745280337</v>
      </c>
      <c r="E844" t="s">
        <v>13</v>
      </c>
      <c r="F844" t="s">
        <v>12</v>
      </c>
      <c r="G844">
        <v>50</v>
      </c>
    </row>
    <row r="845" spans="1:7" x14ac:dyDescent="0.2">
      <c r="A845">
        <f t="shared" si="14"/>
        <v>71</v>
      </c>
      <c r="B845" t="s">
        <v>5</v>
      </c>
      <c r="C845">
        <f>IF(data!$B845&lt;&gt;data!$B844,1,C844+1)</f>
        <v>4</v>
      </c>
      <c r="D845">
        <v>15.897940008672037</v>
      </c>
      <c r="E845" t="s">
        <v>13</v>
      </c>
      <c r="F845" t="s">
        <v>12</v>
      </c>
      <c r="G845">
        <v>50</v>
      </c>
    </row>
    <row r="846" spans="1:7" x14ac:dyDescent="0.2">
      <c r="A846">
        <f t="shared" si="14"/>
        <v>71</v>
      </c>
      <c r="B846" t="s">
        <v>5</v>
      </c>
      <c r="C846">
        <f>IF(data!$B846&lt;&gt;data!$B845,1,C845+1)</f>
        <v>5</v>
      </c>
      <c r="D846">
        <v>15.301029995663981</v>
      </c>
      <c r="E846" t="s">
        <v>13</v>
      </c>
      <c r="F846" t="s">
        <v>12</v>
      </c>
      <c r="G846">
        <v>50</v>
      </c>
    </row>
    <row r="847" spans="1:7" x14ac:dyDescent="0.2">
      <c r="A847">
        <f t="shared" si="14"/>
        <v>71</v>
      </c>
      <c r="B847" t="s">
        <v>5</v>
      </c>
      <c r="C847">
        <f>IF(data!$B847&lt;&gt;data!$B846,1,C846+1)</f>
        <v>6</v>
      </c>
      <c r="D847">
        <v>14.721848749616356</v>
      </c>
      <c r="E847" t="s">
        <v>13</v>
      </c>
      <c r="F847" t="s">
        <v>12</v>
      </c>
      <c r="G847">
        <v>50</v>
      </c>
    </row>
    <row r="848" spans="1:7" x14ac:dyDescent="0.2">
      <c r="A848">
        <f t="shared" si="14"/>
        <v>71</v>
      </c>
      <c r="B848" t="s">
        <v>5</v>
      </c>
      <c r="C848">
        <f>IF(data!$B848&lt;&gt;data!$B847,1,C847+1)</f>
        <v>7</v>
      </c>
      <c r="D848">
        <v>14.154901959985743</v>
      </c>
      <c r="E848" t="s">
        <v>13</v>
      </c>
      <c r="F848" t="s">
        <v>12</v>
      </c>
      <c r="G848">
        <v>50</v>
      </c>
    </row>
    <row r="849" spans="1:7" x14ac:dyDescent="0.2">
      <c r="A849">
        <f t="shared" si="14"/>
        <v>71</v>
      </c>
      <c r="B849" t="s">
        <v>5</v>
      </c>
      <c r="C849">
        <f>IF(data!$B849&lt;&gt;data!$B848,1,C848+1)</f>
        <v>8</v>
      </c>
      <c r="D849">
        <v>13.596910013008056</v>
      </c>
      <c r="E849" t="s">
        <v>13</v>
      </c>
      <c r="F849" t="s">
        <v>12</v>
      </c>
      <c r="G849">
        <v>50</v>
      </c>
    </row>
    <row r="850" spans="1:7" x14ac:dyDescent="0.2">
      <c r="A850">
        <f t="shared" si="14"/>
        <v>71</v>
      </c>
      <c r="B850" t="s">
        <v>5</v>
      </c>
      <c r="C850">
        <f>IF(data!$B850&lt;&gt;data!$B849,1,C849+1)</f>
        <v>9</v>
      </c>
      <c r="D850">
        <v>13.045757490560675</v>
      </c>
      <c r="E850" t="s">
        <v>13</v>
      </c>
      <c r="F850" t="s">
        <v>12</v>
      </c>
      <c r="G850">
        <v>50</v>
      </c>
    </row>
    <row r="851" spans="1:7" x14ac:dyDescent="0.2">
      <c r="A851">
        <f t="shared" si="14"/>
        <v>71</v>
      </c>
      <c r="B851" t="s">
        <v>5</v>
      </c>
      <c r="C851">
        <f>IF(data!$B851&lt;&gt;data!$B850,1,C850+1)</f>
        <v>10</v>
      </c>
      <c r="D851">
        <v>12.5</v>
      </c>
      <c r="E851" t="s">
        <v>13</v>
      </c>
      <c r="F851" t="s">
        <v>12</v>
      </c>
      <c r="G851">
        <v>50</v>
      </c>
    </row>
    <row r="852" spans="1:7" x14ac:dyDescent="0.2">
      <c r="A852">
        <f t="shared" si="14"/>
        <v>71</v>
      </c>
      <c r="B852" t="s">
        <v>5</v>
      </c>
      <c r="C852">
        <f>IF(data!$B852&lt;&gt;data!$B851,1,C851+1)</f>
        <v>11</v>
      </c>
      <c r="D852">
        <v>11.958607314841775</v>
      </c>
      <c r="E852" t="s">
        <v>13</v>
      </c>
      <c r="F852" t="s">
        <v>12</v>
      </c>
      <c r="G852">
        <v>50</v>
      </c>
    </row>
    <row r="853" spans="1:7" x14ac:dyDescent="0.2">
      <c r="A853">
        <f t="shared" si="14"/>
        <v>71</v>
      </c>
      <c r="B853" t="s">
        <v>5</v>
      </c>
      <c r="C853">
        <f>IF(data!$B853&lt;&gt;data!$B852,1,C852+1)</f>
        <v>12</v>
      </c>
      <c r="D853">
        <v>11.420818753952375</v>
      </c>
      <c r="E853" t="s">
        <v>13</v>
      </c>
      <c r="F853" t="s">
        <v>12</v>
      </c>
      <c r="G853">
        <v>50</v>
      </c>
    </row>
    <row r="854" spans="1:7" x14ac:dyDescent="0.2">
      <c r="A854">
        <f t="shared" si="14"/>
        <v>72</v>
      </c>
      <c r="B854" t="s">
        <v>6</v>
      </c>
      <c r="C854">
        <f>IF(data!$B854&lt;&gt;data!$B853,1,C853+1)</f>
        <v>1</v>
      </c>
      <c r="D854">
        <v>20</v>
      </c>
      <c r="E854" t="s">
        <v>13</v>
      </c>
      <c r="F854" t="s">
        <v>12</v>
      </c>
      <c r="G854">
        <v>50</v>
      </c>
    </row>
    <row r="855" spans="1:7" x14ac:dyDescent="0.2">
      <c r="A855">
        <f t="shared" si="14"/>
        <v>72</v>
      </c>
      <c r="B855" t="s">
        <v>6</v>
      </c>
      <c r="C855">
        <f>IF(data!$B855&lt;&gt;data!$B854,1,C854+1)</f>
        <v>2</v>
      </c>
      <c r="D855">
        <v>18.498970004336019</v>
      </c>
      <c r="E855" t="s">
        <v>13</v>
      </c>
      <c r="F855" t="s">
        <v>12</v>
      </c>
      <c r="G855">
        <v>50</v>
      </c>
    </row>
    <row r="856" spans="1:7" x14ac:dyDescent="0.2">
      <c r="A856">
        <f t="shared" si="14"/>
        <v>72</v>
      </c>
      <c r="B856" t="s">
        <v>6</v>
      </c>
      <c r="C856">
        <f>IF(data!$B856&lt;&gt;data!$B855,1,C855+1)</f>
        <v>3</v>
      </c>
      <c r="D856">
        <v>17.122878745280339</v>
      </c>
      <c r="E856" t="s">
        <v>13</v>
      </c>
      <c r="F856" t="s">
        <v>12</v>
      </c>
      <c r="G856">
        <v>50</v>
      </c>
    </row>
    <row r="857" spans="1:7" x14ac:dyDescent="0.2">
      <c r="A857">
        <f t="shared" si="14"/>
        <v>72</v>
      </c>
      <c r="B857" t="s">
        <v>6</v>
      </c>
      <c r="C857">
        <f>IF(data!$B857&lt;&gt;data!$B856,1,C856+1)</f>
        <v>4</v>
      </c>
      <c r="D857">
        <v>15.79794000867204</v>
      </c>
      <c r="E857" t="s">
        <v>13</v>
      </c>
      <c r="F857" t="s">
        <v>12</v>
      </c>
      <c r="G857">
        <v>50</v>
      </c>
    </row>
    <row r="858" spans="1:7" x14ac:dyDescent="0.2">
      <c r="A858">
        <f t="shared" si="14"/>
        <v>72</v>
      </c>
      <c r="B858" t="s">
        <v>6</v>
      </c>
      <c r="C858">
        <f>IF(data!$B858&lt;&gt;data!$B857,1,C857+1)</f>
        <v>5</v>
      </c>
      <c r="D858">
        <v>14.501029995663984</v>
      </c>
      <c r="E858" t="s">
        <v>13</v>
      </c>
      <c r="F858" t="s">
        <v>12</v>
      </c>
      <c r="G858">
        <v>50</v>
      </c>
    </row>
    <row r="859" spans="1:7" x14ac:dyDescent="0.2">
      <c r="A859">
        <f t="shared" si="14"/>
        <v>72</v>
      </c>
      <c r="B859" t="s">
        <v>6</v>
      </c>
      <c r="C859">
        <f>IF(data!$B859&lt;&gt;data!$B858,1,C858+1)</f>
        <v>6</v>
      </c>
      <c r="D859">
        <v>13.22184874961636</v>
      </c>
      <c r="E859" t="s">
        <v>13</v>
      </c>
      <c r="F859" t="s">
        <v>12</v>
      </c>
      <c r="G859">
        <v>50</v>
      </c>
    </row>
    <row r="860" spans="1:7" x14ac:dyDescent="0.2">
      <c r="A860">
        <f t="shared" si="14"/>
        <v>72</v>
      </c>
      <c r="B860" t="s">
        <v>6</v>
      </c>
      <c r="C860">
        <f>IF(data!$B860&lt;&gt;data!$B859,1,C859+1)</f>
        <v>7</v>
      </c>
      <c r="D860">
        <v>11.954901959985747</v>
      </c>
      <c r="E860" t="s">
        <v>13</v>
      </c>
      <c r="F860" t="s">
        <v>12</v>
      </c>
      <c r="G860">
        <v>50</v>
      </c>
    </row>
    <row r="861" spans="1:7" x14ac:dyDescent="0.2">
      <c r="A861">
        <f t="shared" si="14"/>
        <v>72</v>
      </c>
      <c r="B861" t="s">
        <v>6</v>
      </c>
      <c r="C861">
        <f>IF(data!$B861&lt;&gt;data!$B860,1,C860+1)</f>
        <v>8</v>
      </c>
      <c r="D861">
        <v>10.696910013008061</v>
      </c>
      <c r="E861" t="s">
        <v>13</v>
      </c>
      <c r="F861" t="s">
        <v>12</v>
      </c>
      <c r="G861">
        <v>50</v>
      </c>
    </row>
    <row r="862" spans="1:7" x14ac:dyDescent="0.2">
      <c r="A862">
        <f t="shared" si="14"/>
        <v>72</v>
      </c>
      <c r="B862" t="s">
        <v>6</v>
      </c>
      <c r="C862">
        <f>IF(data!$B862&lt;&gt;data!$B861,1,C861+1)</f>
        <v>9</v>
      </c>
      <c r="D862">
        <v>9.4457574905606805</v>
      </c>
      <c r="E862" t="s">
        <v>13</v>
      </c>
      <c r="F862" t="s">
        <v>12</v>
      </c>
      <c r="G862">
        <v>50</v>
      </c>
    </row>
    <row r="863" spans="1:7" x14ac:dyDescent="0.2">
      <c r="A863">
        <f t="shared" si="14"/>
        <v>72</v>
      </c>
      <c r="B863" t="s">
        <v>6</v>
      </c>
      <c r="C863">
        <f>IF(data!$B863&lt;&gt;data!$B862,1,C862+1)</f>
        <v>10</v>
      </c>
      <c r="D863">
        <v>8.2000000000000064</v>
      </c>
      <c r="E863" t="s">
        <v>13</v>
      </c>
      <c r="F863" t="s">
        <v>12</v>
      </c>
      <c r="G863">
        <v>50</v>
      </c>
    </row>
    <row r="864" spans="1:7" x14ac:dyDescent="0.2">
      <c r="A864">
        <f t="shared" si="14"/>
        <v>72</v>
      </c>
      <c r="B864" t="s">
        <v>6</v>
      </c>
      <c r="C864">
        <f>IF(data!$B864&lt;&gt;data!$B863,1,C863+1)</f>
        <v>11</v>
      </c>
      <c r="D864">
        <v>6.9586073148417817</v>
      </c>
      <c r="E864" t="s">
        <v>13</v>
      </c>
      <c r="F864" t="s">
        <v>12</v>
      </c>
      <c r="G864">
        <v>50</v>
      </c>
    </row>
    <row r="865" spans="1:7" x14ac:dyDescent="0.2">
      <c r="A865">
        <f t="shared" si="14"/>
        <v>72</v>
      </c>
      <c r="B865" t="s">
        <v>6</v>
      </c>
      <c r="C865">
        <f>IF(data!$B865&lt;&gt;data!$B864,1,C864+1)</f>
        <v>12</v>
      </c>
      <c r="D865">
        <v>5.7208187539523818</v>
      </c>
      <c r="E865" t="s">
        <v>13</v>
      </c>
      <c r="F865" t="s">
        <v>12</v>
      </c>
      <c r="G865">
        <v>50</v>
      </c>
    </row>
    <row r="866" spans="1:7" x14ac:dyDescent="0.2">
      <c r="A866">
        <f t="shared" si="14"/>
        <v>73</v>
      </c>
      <c r="B866" t="s">
        <v>5</v>
      </c>
      <c r="C866">
        <f>IF(data!$B866&lt;&gt;data!$B865,1,C865+1)</f>
        <v>1</v>
      </c>
      <c r="D866">
        <v>24</v>
      </c>
      <c r="E866" t="s">
        <v>7</v>
      </c>
      <c r="F866" t="s">
        <v>14</v>
      </c>
      <c r="G866">
        <v>60</v>
      </c>
    </row>
    <row r="867" spans="1:7" x14ac:dyDescent="0.2">
      <c r="A867">
        <f t="shared" ref="A867:A930" si="15">IF(B867=B866,A866,A866+1)</f>
        <v>73</v>
      </c>
      <c r="B867" t="s">
        <v>5</v>
      </c>
      <c r="C867">
        <f>IF(data!$B867&lt;&gt;data!$B866,1,C866+1)</f>
        <v>2</v>
      </c>
      <c r="D867">
        <v>23</v>
      </c>
      <c r="E867" t="s">
        <v>7</v>
      </c>
      <c r="F867" t="s">
        <v>14</v>
      </c>
      <c r="G867">
        <v>60</v>
      </c>
    </row>
    <row r="868" spans="1:7" x14ac:dyDescent="0.2">
      <c r="A868">
        <f t="shared" si="15"/>
        <v>73</v>
      </c>
      <c r="B868" t="s">
        <v>5</v>
      </c>
      <c r="C868">
        <f>IF(data!$B868&lt;&gt;data!$B867,1,C867+1)</f>
        <v>3</v>
      </c>
      <c r="D868">
        <v>22</v>
      </c>
      <c r="E868" t="s">
        <v>7</v>
      </c>
      <c r="F868" t="s">
        <v>14</v>
      </c>
      <c r="G868">
        <v>60</v>
      </c>
    </row>
    <row r="869" spans="1:7" x14ac:dyDescent="0.2">
      <c r="A869">
        <f t="shared" si="15"/>
        <v>73</v>
      </c>
      <c r="B869" t="s">
        <v>5</v>
      </c>
      <c r="C869">
        <f>IF(data!$B869&lt;&gt;data!$B868,1,C868+1)</f>
        <v>4</v>
      </c>
      <c r="D869">
        <v>21</v>
      </c>
      <c r="E869" t="s">
        <v>7</v>
      </c>
      <c r="F869" t="s">
        <v>14</v>
      </c>
      <c r="G869">
        <v>60</v>
      </c>
    </row>
    <row r="870" spans="1:7" x14ac:dyDescent="0.2">
      <c r="A870">
        <f t="shared" si="15"/>
        <v>73</v>
      </c>
      <c r="B870" t="s">
        <v>5</v>
      </c>
      <c r="C870">
        <f>IF(data!$B870&lt;&gt;data!$B869,1,C869+1)</f>
        <v>5</v>
      </c>
      <c r="D870">
        <v>20</v>
      </c>
      <c r="E870" t="s">
        <v>7</v>
      </c>
      <c r="F870" t="s">
        <v>14</v>
      </c>
      <c r="G870">
        <v>60</v>
      </c>
    </row>
    <row r="871" spans="1:7" x14ac:dyDescent="0.2">
      <c r="A871">
        <f t="shared" si="15"/>
        <v>73</v>
      </c>
      <c r="B871" t="s">
        <v>5</v>
      </c>
      <c r="C871">
        <f>IF(data!$B871&lt;&gt;data!$B870,1,C870+1)</f>
        <v>6</v>
      </c>
      <c r="D871">
        <v>19</v>
      </c>
      <c r="E871" t="s">
        <v>7</v>
      </c>
      <c r="F871" t="s">
        <v>14</v>
      </c>
      <c r="G871">
        <v>60</v>
      </c>
    </row>
    <row r="872" spans="1:7" x14ac:dyDescent="0.2">
      <c r="A872">
        <f t="shared" si="15"/>
        <v>73</v>
      </c>
      <c r="B872" t="s">
        <v>5</v>
      </c>
      <c r="C872">
        <f>IF(data!$B872&lt;&gt;data!$B871,1,C871+1)</f>
        <v>7</v>
      </c>
      <c r="D872">
        <v>18</v>
      </c>
      <c r="E872" t="s">
        <v>7</v>
      </c>
      <c r="F872" t="s">
        <v>14</v>
      </c>
      <c r="G872">
        <v>60</v>
      </c>
    </row>
    <row r="873" spans="1:7" x14ac:dyDescent="0.2">
      <c r="A873">
        <f t="shared" si="15"/>
        <v>73</v>
      </c>
      <c r="B873" t="s">
        <v>5</v>
      </c>
      <c r="C873">
        <f>IF(data!$B873&lt;&gt;data!$B872,1,C872+1)</f>
        <v>8</v>
      </c>
      <c r="D873">
        <v>17</v>
      </c>
      <c r="E873" t="s">
        <v>7</v>
      </c>
      <c r="F873" t="s">
        <v>14</v>
      </c>
      <c r="G873">
        <v>60</v>
      </c>
    </row>
    <row r="874" spans="1:7" x14ac:dyDescent="0.2">
      <c r="A874">
        <f t="shared" si="15"/>
        <v>73</v>
      </c>
      <c r="B874" t="s">
        <v>5</v>
      </c>
      <c r="C874">
        <f>IF(data!$B874&lt;&gt;data!$B873,1,C873+1)</f>
        <v>9</v>
      </c>
      <c r="D874">
        <v>16</v>
      </c>
      <c r="E874" t="s">
        <v>7</v>
      </c>
      <c r="F874" t="s">
        <v>14</v>
      </c>
      <c r="G874">
        <v>60</v>
      </c>
    </row>
    <row r="875" spans="1:7" x14ac:dyDescent="0.2">
      <c r="A875">
        <f t="shared" si="15"/>
        <v>73</v>
      </c>
      <c r="B875" t="s">
        <v>5</v>
      </c>
      <c r="C875">
        <f>IF(data!$B875&lt;&gt;data!$B874,1,C874+1)</f>
        <v>10</v>
      </c>
      <c r="D875">
        <v>15</v>
      </c>
      <c r="E875" t="s">
        <v>7</v>
      </c>
      <c r="F875" t="s">
        <v>14</v>
      </c>
      <c r="G875">
        <v>60</v>
      </c>
    </row>
    <row r="876" spans="1:7" x14ac:dyDescent="0.2">
      <c r="A876">
        <f t="shared" si="15"/>
        <v>73</v>
      </c>
      <c r="B876" t="s">
        <v>5</v>
      </c>
      <c r="C876">
        <f>IF(data!$B876&lt;&gt;data!$B875,1,C875+1)</f>
        <v>11</v>
      </c>
      <c r="D876">
        <v>14</v>
      </c>
      <c r="E876" t="s">
        <v>7</v>
      </c>
      <c r="F876" t="s">
        <v>14</v>
      </c>
      <c r="G876">
        <v>60</v>
      </c>
    </row>
    <row r="877" spans="1:7" x14ac:dyDescent="0.2">
      <c r="A877">
        <f t="shared" si="15"/>
        <v>73</v>
      </c>
      <c r="B877" t="s">
        <v>5</v>
      </c>
      <c r="C877">
        <f>IF(data!$B877&lt;&gt;data!$B876,1,C876+1)</f>
        <v>12</v>
      </c>
      <c r="D877">
        <v>13</v>
      </c>
      <c r="E877" t="s">
        <v>7</v>
      </c>
      <c r="F877" t="s">
        <v>14</v>
      </c>
      <c r="G877">
        <v>60</v>
      </c>
    </row>
    <row r="878" spans="1:7" x14ac:dyDescent="0.2">
      <c r="A878">
        <f t="shared" si="15"/>
        <v>74</v>
      </c>
      <c r="B878" t="s">
        <v>6</v>
      </c>
      <c r="C878">
        <f>IF(data!$B878&lt;&gt;data!$B877,1,C877+1)</f>
        <v>1</v>
      </c>
      <c r="D878">
        <v>26</v>
      </c>
      <c r="E878" t="s">
        <v>7</v>
      </c>
      <c r="F878" t="s">
        <v>14</v>
      </c>
      <c r="G878">
        <v>60</v>
      </c>
    </row>
    <row r="879" spans="1:7" x14ac:dyDescent="0.2">
      <c r="A879">
        <f t="shared" si="15"/>
        <v>74</v>
      </c>
      <c r="B879" t="s">
        <v>6</v>
      </c>
      <c r="C879">
        <f>IF(data!$B879&lt;&gt;data!$B878,1,C878+1)</f>
        <v>2</v>
      </c>
      <c r="D879">
        <v>24.5</v>
      </c>
      <c r="E879" t="s">
        <v>7</v>
      </c>
      <c r="F879" t="s">
        <v>14</v>
      </c>
      <c r="G879">
        <v>60</v>
      </c>
    </row>
    <row r="880" spans="1:7" x14ac:dyDescent="0.2">
      <c r="A880">
        <f t="shared" si="15"/>
        <v>74</v>
      </c>
      <c r="B880" t="s">
        <v>6</v>
      </c>
      <c r="C880">
        <f>IF(data!$B880&lt;&gt;data!$B879,1,C879+1)</f>
        <v>3</v>
      </c>
      <c r="D880">
        <v>23</v>
      </c>
      <c r="E880" t="s">
        <v>7</v>
      </c>
      <c r="F880" t="s">
        <v>14</v>
      </c>
      <c r="G880">
        <v>60</v>
      </c>
    </row>
    <row r="881" spans="1:7" x14ac:dyDescent="0.2">
      <c r="A881">
        <f t="shared" si="15"/>
        <v>74</v>
      </c>
      <c r="B881" t="s">
        <v>6</v>
      </c>
      <c r="C881">
        <f>IF(data!$B881&lt;&gt;data!$B880,1,C880+1)</f>
        <v>4</v>
      </c>
      <c r="D881">
        <v>21.5</v>
      </c>
      <c r="E881" t="s">
        <v>7</v>
      </c>
      <c r="F881" t="s">
        <v>14</v>
      </c>
      <c r="G881">
        <v>60</v>
      </c>
    </row>
    <row r="882" spans="1:7" x14ac:dyDescent="0.2">
      <c r="A882">
        <f t="shared" si="15"/>
        <v>74</v>
      </c>
      <c r="B882" t="s">
        <v>6</v>
      </c>
      <c r="C882">
        <f>IF(data!$B882&lt;&gt;data!$B881,1,C881+1)</f>
        <v>5</v>
      </c>
      <c r="D882">
        <v>20</v>
      </c>
      <c r="E882" t="s">
        <v>7</v>
      </c>
      <c r="F882" t="s">
        <v>14</v>
      </c>
      <c r="G882">
        <v>60</v>
      </c>
    </row>
    <row r="883" spans="1:7" x14ac:dyDescent="0.2">
      <c r="A883">
        <f t="shared" si="15"/>
        <v>74</v>
      </c>
      <c r="B883" t="s">
        <v>6</v>
      </c>
      <c r="C883">
        <f>IF(data!$B883&lt;&gt;data!$B882,1,C882+1)</f>
        <v>6</v>
      </c>
      <c r="D883">
        <v>18.5</v>
      </c>
      <c r="E883" t="s">
        <v>7</v>
      </c>
      <c r="F883" t="s">
        <v>14</v>
      </c>
      <c r="G883">
        <v>60</v>
      </c>
    </row>
    <row r="884" spans="1:7" x14ac:dyDescent="0.2">
      <c r="A884">
        <f t="shared" si="15"/>
        <v>74</v>
      </c>
      <c r="B884" t="s">
        <v>6</v>
      </c>
      <c r="C884">
        <f>IF(data!$B884&lt;&gt;data!$B883,1,C883+1)</f>
        <v>7</v>
      </c>
      <c r="D884">
        <v>17</v>
      </c>
      <c r="E884" t="s">
        <v>7</v>
      </c>
      <c r="F884" t="s">
        <v>14</v>
      </c>
      <c r="G884">
        <v>60</v>
      </c>
    </row>
    <row r="885" spans="1:7" x14ac:dyDescent="0.2">
      <c r="A885">
        <f t="shared" si="15"/>
        <v>74</v>
      </c>
      <c r="B885" t="s">
        <v>6</v>
      </c>
      <c r="C885">
        <f>IF(data!$B885&lt;&gt;data!$B884,1,C884+1)</f>
        <v>8</v>
      </c>
      <c r="D885">
        <v>15.5</v>
      </c>
      <c r="E885" t="s">
        <v>7</v>
      </c>
      <c r="F885" t="s">
        <v>14</v>
      </c>
      <c r="G885">
        <v>60</v>
      </c>
    </row>
    <row r="886" spans="1:7" x14ac:dyDescent="0.2">
      <c r="A886">
        <f t="shared" si="15"/>
        <v>74</v>
      </c>
      <c r="B886" t="s">
        <v>6</v>
      </c>
      <c r="C886">
        <f>IF(data!$B886&lt;&gt;data!$B885,1,C885+1)</f>
        <v>9</v>
      </c>
      <c r="D886">
        <v>14</v>
      </c>
      <c r="E886" t="s">
        <v>7</v>
      </c>
      <c r="F886" t="s">
        <v>14</v>
      </c>
      <c r="G886">
        <v>60</v>
      </c>
    </row>
    <row r="887" spans="1:7" x14ac:dyDescent="0.2">
      <c r="A887">
        <f t="shared" si="15"/>
        <v>74</v>
      </c>
      <c r="B887" t="s">
        <v>6</v>
      </c>
      <c r="C887">
        <f>IF(data!$B887&lt;&gt;data!$B886,1,C886+1)</f>
        <v>10</v>
      </c>
      <c r="D887">
        <v>12.5</v>
      </c>
      <c r="E887" t="s">
        <v>7</v>
      </c>
      <c r="F887" t="s">
        <v>14</v>
      </c>
      <c r="G887">
        <v>60</v>
      </c>
    </row>
    <row r="888" spans="1:7" x14ac:dyDescent="0.2">
      <c r="A888">
        <f t="shared" si="15"/>
        <v>74</v>
      </c>
      <c r="B888" t="s">
        <v>6</v>
      </c>
      <c r="C888">
        <f>IF(data!$B888&lt;&gt;data!$B887,1,C887+1)</f>
        <v>11</v>
      </c>
      <c r="D888">
        <v>11</v>
      </c>
      <c r="E888" t="s">
        <v>7</v>
      </c>
      <c r="F888" t="s">
        <v>14</v>
      </c>
      <c r="G888">
        <v>60</v>
      </c>
    </row>
    <row r="889" spans="1:7" x14ac:dyDescent="0.2">
      <c r="A889">
        <f t="shared" si="15"/>
        <v>74</v>
      </c>
      <c r="B889" t="s">
        <v>6</v>
      </c>
      <c r="C889">
        <f>IF(data!$B889&lt;&gt;data!$B888,1,C888+1)</f>
        <v>12</v>
      </c>
      <c r="D889">
        <v>9.5</v>
      </c>
      <c r="E889" t="s">
        <v>7</v>
      </c>
      <c r="F889" t="s">
        <v>14</v>
      </c>
      <c r="G889">
        <v>60</v>
      </c>
    </row>
    <row r="890" spans="1:7" x14ac:dyDescent="0.2">
      <c r="A890">
        <f t="shared" si="15"/>
        <v>75</v>
      </c>
      <c r="B890" t="s">
        <v>5</v>
      </c>
      <c r="C890">
        <f>IF(data!$B890&lt;&gt;data!$B889,1,C889+1)</f>
        <v>1</v>
      </c>
      <c r="D890">
        <v>25</v>
      </c>
      <c r="E890" t="s">
        <v>13</v>
      </c>
      <c r="F890" t="s">
        <v>14</v>
      </c>
      <c r="G890">
        <v>60</v>
      </c>
    </row>
    <row r="891" spans="1:7" x14ac:dyDescent="0.2">
      <c r="A891">
        <f t="shared" si="15"/>
        <v>75</v>
      </c>
      <c r="B891" t="s">
        <v>5</v>
      </c>
      <c r="C891">
        <f>IF(data!$B891&lt;&gt;data!$B890,1,C890+1)</f>
        <v>2</v>
      </c>
      <c r="D891">
        <v>24.5</v>
      </c>
      <c r="E891" t="s">
        <v>13</v>
      </c>
      <c r="F891" t="s">
        <v>14</v>
      </c>
      <c r="G891">
        <v>60</v>
      </c>
    </row>
    <row r="892" spans="1:7" x14ac:dyDescent="0.2">
      <c r="A892">
        <f t="shared" si="15"/>
        <v>75</v>
      </c>
      <c r="B892" t="s">
        <v>5</v>
      </c>
      <c r="C892">
        <f>IF(data!$B892&lt;&gt;data!$B891,1,C891+1)</f>
        <v>3</v>
      </c>
      <c r="D892">
        <v>24</v>
      </c>
      <c r="E892" t="s">
        <v>13</v>
      </c>
      <c r="F892" t="s">
        <v>14</v>
      </c>
      <c r="G892">
        <v>60</v>
      </c>
    </row>
    <row r="893" spans="1:7" x14ac:dyDescent="0.2">
      <c r="A893">
        <f t="shared" si="15"/>
        <v>75</v>
      </c>
      <c r="B893" t="s">
        <v>5</v>
      </c>
      <c r="C893">
        <f>IF(data!$B893&lt;&gt;data!$B892,1,C892+1)</f>
        <v>4</v>
      </c>
      <c r="D893">
        <v>23.5</v>
      </c>
      <c r="E893" t="s">
        <v>13</v>
      </c>
      <c r="F893" t="s">
        <v>14</v>
      </c>
      <c r="G893">
        <v>60</v>
      </c>
    </row>
    <row r="894" spans="1:7" x14ac:dyDescent="0.2">
      <c r="A894">
        <f t="shared" si="15"/>
        <v>75</v>
      </c>
      <c r="B894" t="s">
        <v>5</v>
      </c>
      <c r="C894">
        <f>IF(data!$B894&lt;&gt;data!$B893,1,C893+1)</f>
        <v>5</v>
      </c>
      <c r="D894">
        <v>23</v>
      </c>
      <c r="E894" t="s">
        <v>13</v>
      </c>
      <c r="F894" t="s">
        <v>14</v>
      </c>
      <c r="G894">
        <v>60</v>
      </c>
    </row>
    <row r="895" spans="1:7" x14ac:dyDescent="0.2">
      <c r="A895">
        <f t="shared" si="15"/>
        <v>75</v>
      </c>
      <c r="B895" t="s">
        <v>5</v>
      </c>
      <c r="C895">
        <f>IF(data!$B895&lt;&gt;data!$B894,1,C894+1)</f>
        <v>6</v>
      </c>
      <c r="D895">
        <v>22.5</v>
      </c>
      <c r="E895" t="s">
        <v>13</v>
      </c>
      <c r="F895" t="s">
        <v>14</v>
      </c>
      <c r="G895">
        <v>60</v>
      </c>
    </row>
    <row r="896" spans="1:7" x14ac:dyDescent="0.2">
      <c r="A896">
        <f t="shared" si="15"/>
        <v>75</v>
      </c>
      <c r="B896" t="s">
        <v>5</v>
      </c>
      <c r="C896">
        <f>IF(data!$B896&lt;&gt;data!$B895,1,C895+1)</f>
        <v>7</v>
      </c>
      <c r="D896">
        <v>22</v>
      </c>
      <c r="E896" t="s">
        <v>13</v>
      </c>
      <c r="F896" t="s">
        <v>14</v>
      </c>
      <c r="G896">
        <v>60</v>
      </c>
    </row>
    <row r="897" spans="1:7" x14ac:dyDescent="0.2">
      <c r="A897">
        <f t="shared" si="15"/>
        <v>75</v>
      </c>
      <c r="B897" t="s">
        <v>5</v>
      </c>
      <c r="C897">
        <f>IF(data!$B897&lt;&gt;data!$B896,1,C896+1)</f>
        <v>8</v>
      </c>
      <c r="D897">
        <v>21.5</v>
      </c>
      <c r="E897" t="s">
        <v>13</v>
      </c>
      <c r="F897" t="s">
        <v>14</v>
      </c>
      <c r="G897">
        <v>60</v>
      </c>
    </row>
    <row r="898" spans="1:7" x14ac:dyDescent="0.2">
      <c r="A898">
        <f t="shared" si="15"/>
        <v>75</v>
      </c>
      <c r="B898" t="s">
        <v>5</v>
      </c>
      <c r="C898">
        <f>IF(data!$B898&lt;&gt;data!$B897,1,C897+1)</f>
        <v>9</v>
      </c>
      <c r="D898">
        <v>21</v>
      </c>
      <c r="E898" t="s">
        <v>13</v>
      </c>
      <c r="F898" t="s">
        <v>14</v>
      </c>
      <c r="G898">
        <v>60</v>
      </c>
    </row>
    <row r="899" spans="1:7" x14ac:dyDescent="0.2">
      <c r="A899">
        <f t="shared" si="15"/>
        <v>75</v>
      </c>
      <c r="B899" t="s">
        <v>5</v>
      </c>
      <c r="C899">
        <f>IF(data!$B899&lt;&gt;data!$B898,1,C898+1)</f>
        <v>10</v>
      </c>
      <c r="D899">
        <v>20.5</v>
      </c>
      <c r="E899" t="s">
        <v>13</v>
      </c>
      <c r="F899" t="s">
        <v>14</v>
      </c>
      <c r="G899">
        <v>60</v>
      </c>
    </row>
    <row r="900" spans="1:7" x14ac:dyDescent="0.2">
      <c r="A900">
        <f t="shared" si="15"/>
        <v>75</v>
      </c>
      <c r="B900" t="s">
        <v>5</v>
      </c>
      <c r="C900">
        <f>IF(data!$B900&lt;&gt;data!$B899,1,C899+1)</f>
        <v>11</v>
      </c>
      <c r="D900">
        <v>20</v>
      </c>
      <c r="E900" t="s">
        <v>13</v>
      </c>
      <c r="F900" t="s">
        <v>14</v>
      </c>
      <c r="G900">
        <v>60</v>
      </c>
    </row>
    <row r="901" spans="1:7" x14ac:dyDescent="0.2">
      <c r="A901">
        <f t="shared" si="15"/>
        <v>75</v>
      </c>
      <c r="B901" t="s">
        <v>5</v>
      </c>
      <c r="C901">
        <f>IF(data!$B901&lt;&gt;data!$B900,1,C900+1)</f>
        <v>12</v>
      </c>
      <c r="D901">
        <v>19.5</v>
      </c>
      <c r="E901" t="s">
        <v>13</v>
      </c>
      <c r="F901" t="s">
        <v>14</v>
      </c>
      <c r="G901">
        <v>60</v>
      </c>
    </row>
    <row r="902" spans="1:7" x14ac:dyDescent="0.2">
      <c r="A902">
        <f t="shared" si="15"/>
        <v>76</v>
      </c>
      <c r="B902" t="s">
        <v>6</v>
      </c>
      <c r="C902">
        <f>IF(data!$B902&lt;&gt;data!$B901,1,C901+1)</f>
        <v>1</v>
      </c>
      <c r="D902">
        <v>27</v>
      </c>
      <c r="E902" t="s">
        <v>13</v>
      </c>
      <c r="F902" t="s">
        <v>14</v>
      </c>
      <c r="G902">
        <v>60</v>
      </c>
    </row>
    <row r="903" spans="1:7" x14ac:dyDescent="0.2">
      <c r="A903">
        <f t="shared" si="15"/>
        <v>76</v>
      </c>
      <c r="B903" t="s">
        <v>6</v>
      </c>
      <c r="C903">
        <f>IF(data!$B903&lt;&gt;data!$B902,1,C902+1)</f>
        <v>2</v>
      </c>
      <c r="D903">
        <v>25.8</v>
      </c>
      <c r="E903" t="s">
        <v>13</v>
      </c>
      <c r="F903" t="s">
        <v>14</v>
      </c>
      <c r="G903">
        <v>60</v>
      </c>
    </row>
    <row r="904" spans="1:7" x14ac:dyDescent="0.2">
      <c r="A904">
        <f t="shared" si="15"/>
        <v>76</v>
      </c>
      <c r="B904" t="s">
        <v>6</v>
      </c>
      <c r="C904">
        <f>IF(data!$B904&lt;&gt;data!$B903,1,C903+1)</f>
        <v>3</v>
      </c>
      <c r="D904">
        <v>24.6</v>
      </c>
      <c r="E904" t="s">
        <v>13</v>
      </c>
      <c r="F904" t="s">
        <v>14</v>
      </c>
      <c r="G904">
        <v>60</v>
      </c>
    </row>
    <row r="905" spans="1:7" x14ac:dyDescent="0.2">
      <c r="A905">
        <f t="shared" si="15"/>
        <v>76</v>
      </c>
      <c r="B905" t="s">
        <v>6</v>
      </c>
      <c r="C905">
        <f>IF(data!$B905&lt;&gt;data!$B904,1,C904+1)</f>
        <v>4</v>
      </c>
      <c r="D905">
        <v>23.400000000000002</v>
      </c>
      <c r="E905" t="s">
        <v>13</v>
      </c>
      <c r="F905" t="s">
        <v>14</v>
      </c>
      <c r="G905">
        <v>60</v>
      </c>
    </row>
    <row r="906" spans="1:7" x14ac:dyDescent="0.2">
      <c r="A906">
        <f t="shared" si="15"/>
        <v>76</v>
      </c>
      <c r="B906" t="s">
        <v>6</v>
      </c>
      <c r="C906">
        <f>IF(data!$B906&lt;&gt;data!$B905,1,C905+1)</f>
        <v>5</v>
      </c>
      <c r="D906">
        <v>22.200000000000003</v>
      </c>
      <c r="E906" t="s">
        <v>13</v>
      </c>
      <c r="F906" t="s">
        <v>14</v>
      </c>
      <c r="G906">
        <v>60</v>
      </c>
    </row>
    <row r="907" spans="1:7" x14ac:dyDescent="0.2">
      <c r="A907">
        <f t="shared" si="15"/>
        <v>76</v>
      </c>
      <c r="B907" t="s">
        <v>6</v>
      </c>
      <c r="C907">
        <f>IF(data!$B907&lt;&gt;data!$B906,1,C906+1)</f>
        <v>6</v>
      </c>
      <c r="D907">
        <v>21.000000000000004</v>
      </c>
      <c r="E907" t="s">
        <v>13</v>
      </c>
      <c r="F907" t="s">
        <v>14</v>
      </c>
      <c r="G907">
        <v>60</v>
      </c>
    </row>
    <row r="908" spans="1:7" x14ac:dyDescent="0.2">
      <c r="A908">
        <f t="shared" si="15"/>
        <v>76</v>
      </c>
      <c r="B908" t="s">
        <v>6</v>
      </c>
      <c r="C908">
        <f>IF(data!$B908&lt;&gt;data!$B907,1,C907+1)</f>
        <v>7</v>
      </c>
      <c r="D908">
        <v>19.800000000000004</v>
      </c>
      <c r="E908" t="s">
        <v>13</v>
      </c>
      <c r="F908" t="s">
        <v>14</v>
      </c>
      <c r="G908">
        <v>60</v>
      </c>
    </row>
    <row r="909" spans="1:7" x14ac:dyDescent="0.2">
      <c r="A909">
        <f t="shared" si="15"/>
        <v>76</v>
      </c>
      <c r="B909" t="s">
        <v>6</v>
      </c>
      <c r="C909">
        <f>IF(data!$B909&lt;&gt;data!$B908,1,C908+1)</f>
        <v>8</v>
      </c>
      <c r="D909">
        <v>18.600000000000005</v>
      </c>
      <c r="E909" t="s">
        <v>13</v>
      </c>
      <c r="F909" t="s">
        <v>14</v>
      </c>
      <c r="G909">
        <v>60</v>
      </c>
    </row>
    <row r="910" spans="1:7" x14ac:dyDescent="0.2">
      <c r="A910">
        <f t="shared" si="15"/>
        <v>76</v>
      </c>
      <c r="B910" t="s">
        <v>6</v>
      </c>
      <c r="C910">
        <f>IF(data!$B910&lt;&gt;data!$B909,1,C909+1)</f>
        <v>9</v>
      </c>
      <c r="D910">
        <v>17.400000000000006</v>
      </c>
      <c r="E910" t="s">
        <v>13</v>
      </c>
      <c r="F910" t="s">
        <v>14</v>
      </c>
      <c r="G910">
        <v>60</v>
      </c>
    </row>
    <row r="911" spans="1:7" x14ac:dyDescent="0.2">
      <c r="A911">
        <f t="shared" si="15"/>
        <v>76</v>
      </c>
      <c r="B911" t="s">
        <v>6</v>
      </c>
      <c r="C911">
        <f>IF(data!$B911&lt;&gt;data!$B910,1,C910+1)</f>
        <v>10</v>
      </c>
      <c r="D911">
        <v>16.200000000000006</v>
      </c>
      <c r="E911" t="s">
        <v>13</v>
      </c>
      <c r="F911" t="s">
        <v>14</v>
      </c>
      <c r="G911">
        <v>60</v>
      </c>
    </row>
    <row r="912" spans="1:7" x14ac:dyDescent="0.2">
      <c r="A912">
        <f t="shared" si="15"/>
        <v>76</v>
      </c>
      <c r="B912" t="s">
        <v>6</v>
      </c>
      <c r="C912">
        <f>IF(data!$B912&lt;&gt;data!$B911,1,C911+1)</f>
        <v>11</v>
      </c>
      <c r="D912">
        <v>15.000000000000007</v>
      </c>
      <c r="E912" t="s">
        <v>13</v>
      </c>
      <c r="F912" t="s">
        <v>14</v>
      </c>
      <c r="G912">
        <v>60</v>
      </c>
    </row>
    <row r="913" spans="1:7" x14ac:dyDescent="0.2">
      <c r="A913">
        <f t="shared" si="15"/>
        <v>76</v>
      </c>
      <c r="B913" t="s">
        <v>6</v>
      </c>
      <c r="C913">
        <f>IF(data!$B913&lt;&gt;data!$B912,1,C912+1)</f>
        <v>12</v>
      </c>
      <c r="D913">
        <v>13.800000000000008</v>
      </c>
      <c r="E913" t="s">
        <v>13</v>
      </c>
      <c r="F913" t="s">
        <v>14</v>
      </c>
      <c r="G913">
        <v>60</v>
      </c>
    </row>
    <row r="914" spans="1:7" x14ac:dyDescent="0.2">
      <c r="A914">
        <f t="shared" si="15"/>
        <v>77</v>
      </c>
      <c r="B914" t="s">
        <v>5</v>
      </c>
      <c r="C914">
        <f>IF(data!$B914&lt;&gt;data!$B913,1,C913+1)</f>
        <v>1</v>
      </c>
      <c r="D914">
        <v>24</v>
      </c>
      <c r="E914" t="s">
        <v>7</v>
      </c>
      <c r="F914" t="s">
        <v>12</v>
      </c>
      <c r="G914">
        <v>60</v>
      </c>
    </row>
    <row r="915" spans="1:7" x14ac:dyDescent="0.2">
      <c r="A915">
        <f t="shared" si="15"/>
        <v>77</v>
      </c>
      <c r="B915" t="s">
        <v>5</v>
      </c>
      <c r="C915">
        <f>IF(data!$B915&lt;&gt;data!$B914,1,C914+1)</f>
        <v>2</v>
      </c>
      <c r="D915">
        <v>21.301029995663981</v>
      </c>
      <c r="E915" t="s">
        <v>7</v>
      </c>
      <c r="F915" t="s">
        <v>12</v>
      </c>
      <c r="G915">
        <v>60</v>
      </c>
    </row>
    <row r="916" spans="1:7" x14ac:dyDescent="0.2">
      <c r="A916">
        <f t="shared" si="15"/>
        <v>77</v>
      </c>
      <c r="B916" t="s">
        <v>5</v>
      </c>
      <c r="C916">
        <f>IF(data!$B916&lt;&gt;data!$B915,1,C915+1)</f>
        <v>3</v>
      </c>
      <c r="D916">
        <v>20.292429823902065</v>
      </c>
      <c r="E916" t="s">
        <v>7</v>
      </c>
      <c r="F916" t="s">
        <v>12</v>
      </c>
      <c r="G916">
        <v>60</v>
      </c>
    </row>
    <row r="917" spans="1:7" x14ac:dyDescent="0.2">
      <c r="A917">
        <f t="shared" si="15"/>
        <v>77</v>
      </c>
      <c r="B917" t="s">
        <v>5</v>
      </c>
      <c r="C917">
        <f>IF(data!$B917&lt;&gt;data!$B916,1,C916+1)</f>
        <v>4</v>
      </c>
      <c r="D917">
        <v>19.283996656365201</v>
      </c>
      <c r="E917" t="s">
        <v>7</v>
      </c>
      <c r="F917" t="s">
        <v>12</v>
      </c>
      <c r="G917">
        <v>60</v>
      </c>
    </row>
    <row r="918" spans="1:7" x14ac:dyDescent="0.2">
      <c r="A918">
        <f t="shared" si="15"/>
        <v>77</v>
      </c>
      <c r="B918" t="s">
        <v>5</v>
      </c>
      <c r="C918">
        <f>IF(data!$B918&lt;&gt;data!$B917,1,C917+1)</f>
        <v>5</v>
      </c>
      <c r="D918">
        <v>18.275724130399212</v>
      </c>
      <c r="E918" t="s">
        <v>7</v>
      </c>
      <c r="F918" t="s">
        <v>12</v>
      </c>
      <c r="G918">
        <v>60</v>
      </c>
    </row>
    <row r="919" spans="1:7" x14ac:dyDescent="0.2">
      <c r="A919">
        <f t="shared" si="15"/>
        <v>77</v>
      </c>
      <c r="B919" t="s">
        <v>5</v>
      </c>
      <c r="C919">
        <f>IF(data!$B919&lt;&gt;data!$B918,1,C918+1)</f>
        <v>6</v>
      </c>
      <c r="D919">
        <v>17.267606240177031</v>
      </c>
      <c r="E919" t="s">
        <v>7</v>
      </c>
      <c r="F919" t="s">
        <v>12</v>
      </c>
      <c r="G919">
        <v>60</v>
      </c>
    </row>
    <row r="920" spans="1:7" x14ac:dyDescent="0.2">
      <c r="A920">
        <f t="shared" si="15"/>
        <v>77</v>
      </c>
      <c r="B920" t="s">
        <v>5</v>
      </c>
      <c r="C920">
        <f>IF(data!$B920&lt;&gt;data!$B919,1,C919+1)</f>
        <v>7</v>
      </c>
      <c r="D920">
        <v>16.259637310505756</v>
      </c>
      <c r="E920" t="s">
        <v>7</v>
      </c>
      <c r="F920" t="s">
        <v>12</v>
      </c>
      <c r="G920">
        <v>60</v>
      </c>
    </row>
    <row r="921" spans="1:7" x14ac:dyDescent="0.2">
      <c r="A921">
        <f t="shared" si="15"/>
        <v>77</v>
      </c>
      <c r="B921" t="s">
        <v>5</v>
      </c>
      <c r="C921">
        <f>IF(data!$B921&lt;&gt;data!$B920,1,C920+1)</f>
        <v>8</v>
      </c>
      <c r="D921">
        <v>15.251811972993799</v>
      </c>
      <c r="E921" t="s">
        <v>7</v>
      </c>
      <c r="F921" t="s">
        <v>12</v>
      </c>
      <c r="G921">
        <v>60</v>
      </c>
    </row>
    <row r="922" spans="1:7" x14ac:dyDescent="0.2">
      <c r="A922">
        <f t="shared" si="15"/>
        <v>77</v>
      </c>
      <c r="B922" t="s">
        <v>5</v>
      </c>
      <c r="C922">
        <f>IF(data!$B922&lt;&gt;data!$B921,1,C921+1)</f>
        <v>9</v>
      </c>
      <c r="D922">
        <v>14.244125144327509</v>
      </c>
      <c r="E922" t="s">
        <v>7</v>
      </c>
      <c r="F922" t="s">
        <v>12</v>
      </c>
      <c r="G922">
        <v>60</v>
      </c>
    </row>
    <row r="923" spans="1:7" x14ac:dyDescent="0.2">
      <c r="A923">
        <f t="shared" si="15"/>
        <v>77</v>
      </c>
      <c r="B923" t="s">
        <v>5</v>
      </c>
      <c r="C923">
        <f>IF(data!$B923&lt;&gt;data!$B922,1,C922+1)</f>
        <v>10</v>
      </c>
      <c r="D923">
        <v>13.236572006437063</v>
      </c>
      <c r="E923" t="s">
        <v>7</v>
      </c>
      <c r="F923" t="s">
        <v>12</v>
      </c>
      <c r="G923">
        <v>60</v>
      </c>
    </row>
    <row r="924" spans="1:7" x14ac:dyDescent="0.2">
      <c r="A924">
        <f t="shared" si="15"/>
        <v>77</v>
      </c>
      <c r="B924" t="s">
        <v>5</v>
      </c>
      <c r="C924">
        <f>IF(data!$B924&lt;&gt;data!$B923,1,C923+1)</f>
        <v>11</v>
      </c>
      <c r="D924">
        <v>12.229147988357855</v>
      </c>
      <c r="E924" t="s">
        <v>7</v>
      </c>
      <c r="F924" t="s">
        <v>12</v>
      </c>
      <c r="G924">
        <v>60</v>
      </c>
    </row>
    <row r="925" spans="1:7" x14ac:dyDescent="0.2">
      <c r="A925">
        <f t="shared" si="15"/>
        <v>77</v>
      </c>
      <c r="B925" t="s">
        <v>5</v>
      </c>
      <c r="C925">
        <f>IF(data!$B925&lt;&gt;data!$B924,1,C924+1)</f>
        <v>12</v>
      </c>
      <c r="D925">
        <v>11.221848749616356</v>
      </c>
      <c r="E925" t="s">
        <v>7</v>
      </c>
      <c r="F925" t="s">
        <v>12</v>
      </c>
      <c r="G925">
        <v>60</v>
      </c>
    </row>
    <row r="926" spans="1:7" x14ac:dyDescent="0.2">
      <c r="A926">
        <f t="shared" si="15"/>
        <v>78</v>
      </c>
      <c r="B926" t="s">
        <v>6</v>
      </c>
      <c r="C926">
        <f>IF(data!$B926&lt;&gt;data!$B925,1,C925+1)</f>
        <v>1</v>
      </c>
      <c r="D926">
        <v>24.214670164989233</v>
      </c>
      <c r="E926" t="s">
        <v>7</v>
      </c>
      <c r="F926" t="s">
        <v>12</v>
      </c>
      <c r="G926">
        <v>60</v>
      </c>
    </row>
    <row r="927" spans="1:7" x14ac:dyDescent="0.2">
      <c r="A927">
        <f t="shared" si="15"/>
        <v>78</v>
      </c>
      <c r="B927" t="s">
        <v>6</v>
      </c>
      <c r="C927">
        <f>IF(data!$B927&lt;&gt;data!$B926,1,C926+1)</f>
        <v>2</v>
      </c>
      <c r="D927">
        <v>22.707608310501747</v>
      </c>
      <c r="E927" t="s">
        <v>7</v>
      </c>
      <c r="F927" t="s">
        <v>12</v>
      </c>
      <c r="G927">
        <v>60</v>
      </c>
    </row>
    <row r="928" spans="1:7" x14ac:dyDescent="0.2">
      <c r="A928">
        <f t="shared" si="15"/>
        <v>78</v>
      </c>
      <c r="B928" t="s">
        <v>6</v>
      </c>
      <c r="C928">
        <f>IF(data!$B928&lt;&gt;data!$B927,1,C927+1)</f>
        <v>3</v>
      </c>
      <c r="D928">
        <v>21.200659450546418</v>
      </c>
      <c r="E928" t="s">
        <v>7</v>
      </c>
      <c r="F928" t="s">
        <v>12</v>
      </c>
      <c r="G928">
        <v>60</v>
      </c>
    </row>
    <row r="929" spans="1:7" x14ac:dyDescent="0.2">
      <c r="A929">
        <f t="shared" si="15"/>
        <v>78</v>
      </c>
      <c r="B929" t="s">
        <v>6</v>
      </c>
      <c r="C929">
        <f>IF(data!$B929&lt;&gt;data!$B928,1,C928+1)</f>
        <v>4</v>
      </c>
      <c r="D929">
        <v>19.693820026016112</v>
      </c>
      <c r="E929" t="s">
        <v>7</v>
      </c>
      <c r="F929" t="s">
        <v>12</v>
      </c>
      <c r="G929">
        <v>60</v>
      </c>
    </row>
    <row r="930" spans="1:7" x14ac:dyDescent="0.2">
      <c r="A930">
        <f t="shared" si="15"/>
        <v>78</v>
      </c>
      <c r="B930" t="s">
        <v>6</v>
      </c>
      <c r="C930">
        <f>IF(data!$B930&lt;&gt;data!$B929,1,C929+1)</f>
        <v>5</v>
      </c>
      <c r="D930">
        <v>18.187086643357144</v>
      </c>
      <c r="E930" t="s">
        <v>7</v>
      </c>
      <c r="F930" t="s">
        <v>12</v>
      </c>
      <c r="G930">
        <v>60</v>
      </c>
    </row>
    <row r="931" spans="1:7" x14ac:dyDescent="0.2">
      <c r="A931">
        <f t="shared" ref="A931:A994" si="16">IF(B931=B930,A930,A930+1)</f>
        <v>78</v>
      </c>
      <c r="B931" t="s">
        <v>6</v>
      </c>
      <c r="C931">
        <f>IF(data!$B931&lt;&gt;data!$B930,1,C930+1)</f>
        <v>6</v>
      </c>
      <c r="D931">
        <v>16.680456064458131</v>
      </c>
      <c r="E931" t="s">
        <v>7</v>
      </c>
      <c r="F931" t="s">
        <v>12</v>
      </c>
      <c r="G931">
        <v>60</v>
      </c>
    </row>
    <row r="932" spans="1:7" x14ac:dyDescent="0.2">
      <c r="A932">
        <f t="shared" si="16"/>
        <v>78</v>
      </c>
      <c r="B932" t="s">
        <v>6</v>
      </c>
      <c r="C932">
        <f>IF(data!$B932&lt;&gt;data!$B931,1,C931+1)</f>
        <v>7</v>
      </c>
      <c r="D932">
        <v>15.173925197299173</v>
      </c>
      <c r="E932" t="s">
        <v>7</v>
      </c>
      <c r="F932" t="s">
        <v>12</v>
      </c>
      <c r="G932">
        <v>60</v>
      </c>
    </row>
    <row r="933" spans="1:7" x14ac:dyDescent="0.2">
      <c r="A933">
        <f t="shared" si="16"/>
        <v>78</v>
      </c>
      <c r="B933" t="s">
        <v>6</v>
      </c>
      <c r="C933">
        <f>IF(data!$B933&lt;&gt;data!$B932,1,C932+1)</f>
        <v>8</v>
      </c>
      <c r="D933">
        <v>13.667491087293763</v>
      </c>
      <c r="E933" t="s">
        <v>7</v>
      </c>
      <c r="F933" t="s">
        <v>12</v>
      </c>
      <c r="G933">
        <v>60</v>
      </c>
    </row>
    <row r="934" spans="1:7" x14ac:dyDescent="0.2">
      <c r="A934">
        <f t="shared" si="16"/>
        <v>78</v>
      </c>
      <c r="B934" t="s">
        <v>6</v>
      </c>
      <c r="C934">
        <f>IF(data!$B934&lt;&gt;data!$B933,1,C933+1)</f>
        <v>9</v>
      </c>
      <c r="D934">
        <v>12.161150909262744</v>
      </c>
      <c r="E934" t="s">
        <v>7</v>
      </c>
      <c r="F934" t="s">
        <v>12</v>
      </c>
      <c r="G934">
        <v>60</v>
      </c>
    </row>
    <row r="935" spans="1:7" x14ac:dyDescent="0.2">
      <c r="A935">
        <f t="shared" si="16"/>
        <v>78</v>
      </c>
      <c r="B935" t="s">
        <v>6</v>
      </c>
      <c r="C935">
        <f>IF(data!$B935&lt;&gt;data!$B934,1,C934+1)</f>
        <v>10</v>
      </c>
      <c r="D935">
        <v>10.654901959985743</v>
      </c>
      <c r="E935" t="s">
        <v>7</v>
      </c>
      <c r="F935" t="s">
        <v>12</v>
      </c>
      <c r="G935">
        <v>60</v>
      </c>
    </row>
    <row r="936" spans="1:7" x14ac:dyDescent="0.2">
      <c r="A936">
        <f t="shared" si="16"/>
        <v>78</v>
      </c>
      <c r="B936" t="s">
        <v>6</v>
      </c>
      <c r="C936">
        <f>IF(data!$B936&lt;&gt;data!$B935,1,C935+1)</f>
        <v>11</v>
      </c>
      <c r="D936">
        <v>9.1487416512809254</v>
      </c>
      <c r="E936" t="s">
        <v>7</v>
      </c>
      <c r="F936" t="s">
        <v>12</v>
      </c>
      <c r="G936">
        <v>60</v>
      </c>
    </row>
    <row r="937" spans="1:7" x14ac:dyDescent="0.2">
      <c r="A937">
        <f t="shared" si="16"/>
        <v>78</v>
      </c>
      <c r="B937" t="s">
        <v>6</v>
      </c>
      <c r="C937">
        <f>IF(data!$B937&lt;&gt;data!$B936,1,C936+1)</f>
        <v>12</v>
      </c>
      <c r="D937">
        <v>7.642667503568731</v>
      </c>
      <c r="E937" t="s">
        <v>7</v>
      </c>
      <c r="F937" t="s">
        <v>12</v>
      </c>
      <c r="G937">
        <v>60</v>
      </c>
    </row>
    <row r="938" spans="1:7" x14ac:dyDescent="0.2">
      <c r="A938">
        <f t="shared" si="16"/>
        <v>79</v>
      </c>
      <c r="B938" t="s">
        <v>5</v>
      </c>
      <c r="C938">
        <f>IF(data!$B938&lt;&gt;data!$B937,1,C937+1)</f>
        <v>1</v>
      </c>
      <c r="D938">
        <v>23.136677139879545</v>
      </c>
      <c r="E938" t="s">
        <v>13</v>
      </c>
      <c r="F938" t="s">
        <v>12</v>
      </c>
      <c r="G938">
        <v>60</v>
      </c>
    </row>
    <row r="939" spans="1:7" x14ac:dyDescent="0.2">
      <c r="A939">
        <f t="shared" si="16"/>
        <v>79</v>
      </c>
      <c r="B939" t="s">
        <v>5</v>
      </c>
      <c r="C939">
        <f>IF(data!$B939&lt;&gt;data!$B938,1,C938+1)</f>
        <v>2</v>
      </c>
      <c r="D939">
        <v>22.630768280269024</v>
      </c>
      <c r="E939" t="s">
        <v>13</v>
      </c>
      <c r="F939" t="s">
        <v>12</v>
      </c>
      <c r="G939">
        <v>60</v>
      </c>
    </row>
    <row r="940" spans="1:7" x14ac:dyDescent="0.2">
      <c r="A940">
        <f t="shared" si="16"/>
        <v>79</v>
      </c>
      <c r="B940" t="s">
        <v>5</v>
      </c>
      <c r="C940">
        <f>IF(data!$B940&lt;&gt;data!$B939,1,C939+1)</f>
        <v>3</v>
      </c>
      <c r="D940">
        <v>22.1249387366083</v>
      </c>
      <c r="E940" t="s">
        <v>13</v>
      </c>
      <c r="F940" t="s">
        <v>12</v>
      </c>
      <c r="G940">
        <v>60</v>
      </c>
    </row>
    <row r="941" spans="1:7" x14ac:dyDescent="0.2">
      <c r="A941">
        <f t="shared" si="16"/>
        <v>79</v>
      </c>
      <c r="B941" t="s">
        <v>5</v>
      </c>
      <c r="C941">
        <f>IF(data!$B941&lt;&gt;data!$B940,1,C940+1)</f>
        <v>4</v>
      </c>
      <c r="D941">
        <v>21.619186407719209</v>
      </c>
      <c r="E941" t="s">
        <v>13</v>
      </c>
      <c r="F941" t="s">
        <v>12</v>
      </c>
      <c r="G941">
        <v>60</v>
      </c>
    </row>
    <row r="942" spans="1:7" x14ac:dyDescent="0.2">
      <c r="A942">
        <f t="shared" si="16"/>
        <v>79</v>
      </c>
      <c r="B942" t="s">
        <v>5</v>
      </c>
      <c r="C942">
        <f>IF(data!$B942&lt;&gt;data!$B941,1,C941+1)</f>
        <v>5</v>
      </c>
      <c r="D942">
        <v>21.113509274827518</v>
      </c>
      <c r="E942" t="s">
        <v>13</v>
      </c>
      <c r="F942" t="s">
        <v>12</v>
      </c>
      <c r="G942">
        <v>60</v>
      </c>
    </row>
    <row r="943" spans="1:7" x14ac:dyDescent="0.2">
      <c r="A943">
        <f t="shared" si="16"/>
        <v>79</v>
      </c>
      <c r="B943" t="s">
        <v>5</v>
      </c>
      <c r="C943">
        <f>IF(data!$B943&lt;&gt;data!$B942,1,C942+1)</f>
        <v>6</v>
      </c>
      <c r="D943">
        <v>20.607905397309519</v>
      </c>
      <c r="E943" t="s">
        <v>13</v>
      </c>
      <c r="F943" t="s">
        <v>12</v>
      </c>
      <c r="G943">
        <v>60</v>
      </c>
    </row>
    <row r="944" spans="1:7" x14ac:dyDescent="0.2">
      <c r="A944">
        <f t="shared" si="16"/>
        <v>79</v>
      </c>
      <c r="B944" t="s">
        <v>5</v>
      </c>
      <c r="C944">
        <f>IF(data!$B944&lt;&gt;data!$B943,1,C943+1)</f>
        <v>7</v>
      </c>
      <c r="D944">
        <v>20.102372908709558</v>
      </c>
      <c r="E944" t="s">
        <v>13</v>
      </c>
      <c r="F944" t="s">
        <v>12</v>
      </c>
      <c r="G944">
        <v>60</v>
      </c>
    </row>
    <row r="945" spans="1:7" x14ac:dyDescent="0.2">
      <c r="A945">
        <f t="shared" si="16"/>
        <v>79</v>
      </c>
      <c r="B945" t="s">
        <v>5</v>
      </c>
      <c r="C945">
        <f>IF(data!$B945&lt;&gt;data!$B944,1,C944+1)</f>
        <v>8</v>
      </c>
      <c r="D945">
        <v>19.596910013008056</v>
      </c>
      <c r="E945" t="s">
        <v>13</v>
      </c>
      <c r="F945" t="s">
        <v>12</v>
      </c>
      <c r="G945">
        <v>60</v>
      </c>
    </row>
    <row r="946" spans="1:7" x14ac:dyDescent="0.2">
      <c r="A946">
        <f t="shared" si="16"/>
        <v>79</v>
      </c>
      <c r="B946" t="s">
        <v>5</v>
      </c>
      <c r="C946">
        <f>IF(data!$B946&lt;&gt;data!$B945,1,C945+1)</f>
        <v>9</v>
      </c>
      <c r="D946">
        <v>19.09151498112135</v>
      </c>
      <c r="E946" t="s">
        <v>13</v>
      </c>
      <c r="F946" t="s">
        <v>12</v>
      </c>
      <c r="G946">
        <v>60</v>
      </c>
    </row>
    <row r="947" spans="1:7" x14ac:dyDescent="0.2">
      <c r="A947">
        <f t="shared" si="16"/>
        <v>79</v>
      </c>
      <c r="B947" t="s">
        <v>5</v>
      </c>
      <c r="C947">
        <f>IF(data!$B947&lt;&gt;data!$B946,1,C946+1)</f>
        <v>10</v>
      </c>
      <c r="D947">
        <v>18.586186147616282</v>
      </c>
      <c r="E947" t="s">
        <v>13</v>
      </c>
      <c r="F947" t="s">
        <v>12</v>
      </c>
      <c r="G947">
        <v>60</v>
      </c>
    </row>
    <row r="948" spans="1:7" x14ac:dyDescent="0.2">
      <c r="A948">
        <f t="shared" si="16"/>
        <v>79</v>
      </c>
      <c r="B948" t="s">
        <v>5</v>
      </c>
      <c r="C948">
        <f>IF(data!$B948&lt;&gt;data!$B947,1,C947+1)</f>
        <v>11</v>
      </c>
      <c r="D948">
        <v>18.080921907623924</v>
      </c>
      <c r="E948" t="s">
        <v>13</v>
      </c>
      <c r="F948" t="s">
        <v>12</v>
      </c>
      <c r="G948">
        <v>60</v>
      </c>
    </row>
    <row r="949" spans="1:7" x14ac:dyDescent="0.2">
      <c r="A949">
        <f t="shared" si="16"/>
        <v>79</v>
      </c>
      <c r="B949" t="s">
        <v>5</v>
      </c>
      <c r="C949">
        <f>IF(data!$B949&lt;&gt;data!$B948,1,C948+1)</f>
        <v>12</v>
      </c>
      <c r="D949">
        <v>17.575720713938118</v>
      </c>
      <c r="E949" t="s">
        <v>13</v>
      </c>
      <c r="F949" t="s">
        <v>12</v>
      </c>
      <c r="G949">
        <v>60</v>
      </c>
    </row>
    <row r="950" spans="1:7" x14ac:dyDescent="0.2">
      <c r="A950">
        <f t="shared" si="16"/>
        <v>80</v>
      </c>
      <c r="B950" t="s">
        <v>6</v>
      </c>
      <c r="C950">
        <f>IF(data!$B950&lt;&gt;data!$B949,1,C949+1)</f>
        <v>1</v>
      </c>
      <c r="D950">
        <v>25.070581074285709</v>
      </c>
      <c r="E950" t="s">
        <v>13</v>
      </c>
      <c r="F950" t="s">
        <v>12</v>
      </c>
      <c r="G950">
        <v>60</v>
      </c>
    </row>
    <row r="951" spans="1:7" x14ac:dyDescent="0.2">
      <c r="A951">
        <f t="shared" si="16"/>
        <v>80</v>
      </c>
      <c r="B951" t="s">
        <v>6</v>
      </c>
      <c r="C951">
        <f>IF(data!$B951&lt;&gt;data!$B950,1,C950+1)</f>
        <v>2</v>
      </c>
      <c r="D951">
        <v>23.865501548756434</v>
      </c>
      <c r="E951" t="s">
        <v>13</v>
      </c>
      <c r="F951" t="s">
        <v>12</v>
      </c>
      <c r="G951">
        <v>60</v>
      </c>
    </row>
    <row r="952" spans="1:7" x14ac:dyDescent="0.2">
      <c r="A952">
        <f t="shared" si="16"/>
        <v>80</v>
      </c>
      <c r="B952" t="s">
        <v>6</v>
      </c>
      <c r="C952">
        <f>IF(data!$B952&lt;&gt;data!$B951,1,C951+1)</f>
        <v>3</v>
      </c>
      <c r="D952">
        <v>22.660480747381381</v>
      </c>
      <c r="E952" t="s">
        <v>13</v>
      </c>
      <c r="F952" t="s">
        <v>12</v>
      </c>
      <c r="G952">
        <v>60</v>
      </c>
    </row>
    <row r="953" spans="1:7" x14ac:dyDescent="0.2">
      <c r="A953">
        <f t="shared" si="16"/>
        <v>80</v>
      </c>
      <c r="B953" t="s">
        <v>6</v>
      </c>
      <c r="C953">
        <f>IF(data!$B953&lt;&gt;data!$B952,1,C952+1)</f>
        <v>4</v>
      </c>
      <c r="D953">
        <v>21.455517327849833</v>
      </c>
      <c r="E953" t="s">
        <v>13</v>
      </c>
      <c r="F953" t="s">
        <v>12</v>
      </c>
      <c r="G953">
        <v>60</v>
      </c>
    </row>
    <row r="954" spans="1:7" x14ac:dyDescent="0.2">
      <c r="A954">
        <f t="shared" si="16"/>
        <v>80</v>
      </c>
      <c r="B954" t="s">
        <v>6</v>
      </c>
      <c r="C954">
        <f>IF(data!$B954&lt;&gt;data!$B953,1,C953+1)</f>
        <v>5</v>
      </c>
      <c r="D954">
        <v>20.250609993355091</v>
      </c>
      <c r="E954" t="s">
        <v>13</v>
      </c>
      <c r="F954" t="s">
        <v>12</v>
      </c>
      <c r="G954">
        <v>60</v>
      </c>
    </row>
    <row r="955" spans="1:7" x14ac:dyDescent="0.2">
      <c r="A955">
        <f t="shared" si="16"/>
        <v>80</v>
      </c>
      <c r="B955" t="s">
        <v>6</v>
      </c>
      <c r="C955">
        <f>IF(data!$B955&lt;&gt;data!$B954,1,C954+1)</f>
        <v>6</v>
      </c>
      <c r="D955">
        <v>19.045757490560678</v>
      </c>
      <c r="E955" t="s">
        <v>13</v>
      </c>
      <c r="F955" t="s">
        <v>12</v>
      </c>
      <c r="G955">
        <v>60</v>
      </c>
    </row>
    <row r="956" spans="1:7" x14ac:dyDescent="0.2">
      <c r="A956">
        <f t="shared" si="16"/>
        <v>80</v>
      </c>
      <c r="B956" t="s">
        <v>6</v>
      </c>
      <c r="C956">
        <f>IF(data!$B956&lt;&gt;data!$B955,1,C955+1)</f>
        <v>7</v>
      </c>
      <c r="D956">
        <v>17.84095860767891</v>
      </c>
      <c r="E956" t="s">
        <v>13</v>
      </c>
      <c r="F956" t="s">
        <v>12</v>
      </c>
      <c r="G956">
        <v>60</v>
      </c>
    </row>
    <row r="957" spans="1:7" x14ac:dyDescent="0.2">
      <c r="A957">
        <f t="shared" si="16"/>
        <v>80</v>
      </c>
      <c r="B957" t="s">
        <v>6</v>
      </c>
      <c r="C957">
        <f>IF(data!$B957&lt;&gt;data!$B956,1,C956+1)</f>
        <v>8</v>
      </c>
      <c r="D957">
        <v>16.636212172654449</v>
      </c>
      <c r="E957" t="s">
        <v>13</v>
      </c>
      <c r="F957" t="s">
        <v>12</v>
      </c>
      <c r="G957">
        <v>60</v>
      </c>
    </row>
    <row r="958" spans="1:7" x14ac:dyDescent="0.2">
      <c r="A958">
        <f t="shared" si="16"/>
        <v>80</v>
      </c>
      <c r="B958" t="s">
        <v>6</v>
      </c>
      <c r="C958">
        <f>IF(data!$B958&lt;&gt;data!$B957,1,C957+1)</f>
        <v>9</v>
      </c>
      <c r="D958">
        <v>15.43151705144607</v>
      </c>
      <c r="E958" t="s">
        <v>13</v>
      </c>
      <c r="F958" t="s">
        <v>12</v>
      </c>
      <c r="G958">
        <v>60</v>
      </c>
    </row>
    <row r="959" spans="1:7" x14ac:dyDescent="0.2">
      <c r="A959">
        <f t="shared" si="16"/>
        <v>80</v>
      </c>
      <c r="B959" t="s">
        <v>6</v>
      </c>
      <c r="C959">
        <f>IF(data!$B959&lt;&gt;data!$B958,1,C958+1)</f>
        <v>10</v>
      </c>
      <c r="D959">
        <v>14.226872146400307</v>
      </c>
      <c r="E959" t="s">
        <v>13</v>
      </c>
      <c r="F959" t="s">
        <v>12</v>
      </c>
      <c r="G959">
        <v>60</v>
      </c>
    </row>
    <row r="960" spans="1:7" x14ac:dyDescent="0.2">
      <c r="A960">
        <f t="shared" si="16"/>
        <v>80</v>
      </c>
      <c r="B960" t="s">
        <v>6</v>
      </c>
      <c r="C960">
        <f>IF(data!$B960&lt;&gt;data!$B959,1,C959+1)</f>
        <v>11</v>
      </c>
      <c r="D960">
        <v>13.022276394711159</v>
      </c>
      <c r="E960" t="s">
        <v>13</v>
      </c>
      <c r="F960" t="s">
        <v>12</v>
      </c>
      <c r="G960">
        <v>60</v>
      </c>
    </row>
    <row r="961" spans="1:7" x14ac:dyDescent="0.2">
      <c r="A961">
        <f t="shared" si="16"/>
        <v>80</v>
      </c>
      <c r="B961" t="s">
        <v>6</v>
      </c>
      <c r="C961">
        <f>IF(data!$B961&lt;&gt;data!$B960,1,C960+1)</f>
        <v>12</v>
      </c>
      <c r="D961">
        <v>11.817728766960439</v>
      </c>
      <c r="E961" t="s">
        <v>13</v>
      </c>
      <c r="F961" t="s">
        <v>12</v>
      </c>
      <c r="G961">
        <v>60</v>
      </c>
    </row>
    <row r="962" spans="1:7" x14ac:dyDescent="0.2">
      <c r="A962">
        <f t="shared" si="16"/>
        <v>81</v>
      </c>
      <c r="B962" t="s">
        <v>5</v>
      </c>
      <c r="C962">
        <f>IF(data!$B962&lt;&gt;data!$B961,1,C961+1)</f>
        <v>1</v>
      </c>
      <c r="D962">
        <v>22</v>
      </c>
      <c r="E962" t="s">
        <v>7</v>
      </c>
      <c r="F962" t="s">
        <v>14</v>
      </c>
      <c r="G962">
        <v>60</v>
      </c>
    </row>
    <row r="963" spans="1:7" x14ac:dyDescent="0.2">
      <c r="A963">
        <f t="shared" si="16"/>
        <v>81</v>
      </c>
      <c r="B963" t="s">
        <v>5</v>
      </c>
      <c r="C963">
        <f>IF(data!$B963&lt;&gt;data!$B962,1,C962+1)</f>
        <v>2</v>
      </c>
      <c r="D963">
        <v>21</v>
      </c>
      <c r="E963" t="s">
        <v>7</v>
      </c>
      <c r="F963" t="s">
        <v>14</v>
      </c>
      <c r="G963">
        <v>60</v>
      </c>
    </row>
    <row r="964" spans="1:7" x14ac:dyDescent="0.2">
      <c r="A964">
        <f t="shared" si="16"/>
        <v>81</v>
      </c>
      <c r="B964" t="s">
        <v>5</v>
      </c>
      <c r="C964">
        <f>IF(data!$B964&lt;&gt;data!$B963,1,C963+1)</f>
        <v>3</v>
      </c>
      <c r="D964">
        <v>20</v>
      </c>
      <c r="E964" t="s">
        <v>7</v>
      </c>
      <c r="F964" t="s">
        <v>14</v>
      </c>
      <c r="G964">
        <v>60</v>
      </c>
    </row>
    <row r="965" spans="1:7" x14ac:dyDescent="0.2">
      <c r="A965">
        <f t="shared" si="16"/>
        <v>81</v>
      </c>
      <c r="B965" t="s">
        <v>5</v>
      </c>
      <c r="C965">
        <f>IF(data!$B965&lt;&gt;data!$B964,1,C964+1)</f>
        <v>4</v>
      </c>
      <c r="D965">
        <v>19</v>
      </c>
      <c r="E965" t="s">
        <v>7</v>
      </c>
      <c r="F965" t="s">
        <v>14</v>
      </c>
      <c r="G965">
        <v>60</v>
      </c>
    </row>
    <row r="966" spans="1:7" x14ac:dyDescent="0.2">
      <c r="A966">
        <f t="shared" si="16"/>
        <v>81</v>
      </c>
      <c r="B966" t="s">
        <v>5</v>
      </c>
      <c r="C966">
        <f>IF(data!$B966&lt;&gt;data!$B965,1,C965+1)</f>
        <v>5</v>
      </c>
      <c r="D966">
        <v>18</v>
      </c>
      <c r="E966" t="s">
        <v>7</v>
      </c>
      <c r="F966" t="s">
        <v>14</v>
      </c>
      <c r="G966">
        <v>60</v>
      </c>
    </row>
    <row r="967" spans="1:7" x14ac:dyDescent="0.2">
      <c r="A967">
        <f t="shared" si="16"/>
        <v>81</v>
      </c>
      <c r="B967" t="s">
        <v>5</v>
      </c>
      <c r="C967">
        <f>IF(data!$B967&lt;&gt;data!$B966,1,C966+1)</f>
        <v>6</v>
      </c>
      <c r="D967">
        <v>17</v>
      </c>
      <c r="E967" t="s">
        <v>7</v>
      </c>
      <c r="F967" t="s">
        <v>14</v>
      </c>
      <c r="G967">
        <v>60</v>
      </c>
    </row>
    <row r="968" spans="1:7" x14ac:dyDescent="0.2">
      <c r="A968">
        <f t="shared" si="16"/>
        <v>81</v>
      </c>
      <c r="B968" t="s">
        <v>5</v>
      </c>
      <c r="C968">
        <f>IF(data!$B968&lt;&gt;data!$B967,1,C967+1)</f>
        <v>7</v>
      </c>
      <c r="D968">
        <v>16</v>
      </c>
      <c r="E968" t="s">
        <v>7</v>
      </c>
      <c r="F968" t="s">
        <v>14</v>
      </c>
      <c r="G968">
        <v>60</v>
      </c>
    </row>
    <row r="969" spans="1:7" x14ac:dyDescent="0.2">
      <c r="A969">
        <f t="shared" si="16"/>
        <v>81</v>
      </c>
      <c r="B969" t="s">
        <v>5</v>
      </c>
      <c r="C969">
        <f>IF(data!$B969&lt;&gt;data!$B968,1,C968+1)</f>
        <v>8</v>
      </c>
      <c r="D969">
        <v>15</v>
      </c>
      <c r="E969" t="s">
        <v>7</v>
      </c>
      <c r="F969" t="s">
        <v>14</v>
      </c>
      <c r="G969">
        <v>60</v>
      </c>
    </row>
    <row r="970" spans="1:7" x14ac:dyDescent="0.2">
      <c r="A970">
        <f t="shared" si="16"/>
        <v>81</v>
      </c>
      <c r="B970" t="s">
        <v>5</v>
      </c>
      <c r="C970">
        <f>IF(data!$B970&lt;&gt;data!$B969,1,C969+1)</f>
        <v>9</v>
      </c>
      <c r="D970">
        <v>14</v>
      </c>
      <c r="E970" t="s">
        <v>7</v>
      </c>
      <c r="F970" t="s">
        <v>14</v>
      </c>
      <c r="G970">
        <v>60</v>
      </c>
    </row>
    <row r="971" spans="1:7" x14ac:dyDescent="0.2">
      <c r="A971">
        <f t="shared" si="16"/>
        <v>81</v>
      </c>
      <c r="B971" t="s">
        <v>5</v>
      </c>
      <c r="C971">
        <f>IF(data!$B971&lt;&gt;data!$B970,1,C970+1)</f>
        <v>10</v>
      </c>
      <c r="D971">
        <v>13</v>
      </c>
      <c r="E971" t="s">
        <v>7</v>
      </c>
      <c r="F971" t="s">
        <v>14</v>
      </c>
      <c r="G971">
        <v>60</v>
      </c>
    </row>
    <row r="972" spans="1:7" x14ac:dyDescent="0.2">
      <c r="A972">
        <f t="shared" si="16"/>
        <v>81</v>
      </c>
      <c r="B972" t="s">
        <v>5</v>
      </c>
      <c r="C972">
        <f>IF(data!$B972&lt;&gt;data!$B971,1,C971+1)</f>
        <v>11</v>
      </c>
      <c r="D972">
        <v>12</v>
      </c>
      <c r="E972" t="s">
        <v>7</v>
      </c>
      <c r="F972" t="s">
        <v>14</v>
      </c>
      <c r="G972">
        <v>60</v>
      </c>
    </row>
    <row r="973" spans="1:7" x14ac:dyDescent="0.2">
      <c r="A973">
        <f t="shared" si="16"/>
        <v>81</v>
      </c>
      <c r="B973" t="s">
        <v>5</v>
      </c>
      <c r="C973">
        <f>IF(data!$B973&lt;&gt;data!$B972,1,C972+1)</f>
        <v>12</v>
      </c>
      <c r="D973">
        <v>11</v>
      </c>
      <c r="E973" t="s">
        <v>7</v>
      </c>
      <c r="F973" t="s">
        <v>14</v>
      </c>
      <c r="G973">
        <v>60</v>
      </c>
    </row>
    <row r="974" spans="1:7" x14ac:dyDescent="0.2">
      <c r="A974">
        <f t="shared" si="16"/>
        <v>82</v>
      </c>
      <c r="B974" t="s">
        <v>6</v>
      </c>
      <c r="C974">
        <f>IF(data!$B974&lt;&gt;data!$B973,1,C973+1)</f>
        <v>1</v>
      </c>
      <c r="D974">
        <v>24</v>
      </c>
      <c r="E974" t="s">
        <v>7</v>
      </c>
      <c r="F974" t="s">
        <v>14</v>
      </c>
      <c r="G974">
        <v>60</v>
      </c>
    </row>
    <row r="975" spans="1:7" x14ac:dyDescent="0.2">
      <c r="A975">
        <f t="shared" si="16"/>
        <v>82</v>
      </c>
      <c r="B975" t="s">
        <v>6</v>
      </c>
      <c r="C975">
        <f>IF(data!$B975&lt;&gt;data!$B974,1,C974+1)</f>
        <v>2</v>
      </c>
      <c r="D975">
        <v>22.5</v>
      </c>
      <c r="E975" t="s">
        <v>7</v>
      </c>
      <c r="F975" t="s">
        <v>14</v>
      </c>
      <c r="G975">
        <v>60</v>
      </c>
    </row>
    <row r="976" spans="1:7" x14ac:dyDescent="0.2">
      <c r="A976">
        <f t="shared" si="16"/>
        <v>82</v>
      </c>
      <c r="B976" t="s">
        <v>6</v>
      </c>
      <c r="C976">
        <f>IF(data!$B976&lt;&gt;data!$B975,1,C975+1)</f>
        <v>3</v>
      </c>
      <c r="D976">
        <v>21</v>
      </c>
      <c r="E976" t="s">
        <v>7</v>
      </c>
      <c r="F976" t="s">
        <v>14</v>
      </c>
      <c r="G976">
        <v>60</v>
      </c>
    </row>
    <row r="977" spans="1:7" x14ac:dyDescent="0.2">
      <c r="A977">
        <f t="shared" si="16"/>
        <v>82</v>
      </c>
      <c r="B977" t="s">
        <v>6</v>
      </c>
      <c r="C977">
        <f>IF(data!$B977&lt;&gt;data!$B976,1,C976+1)</f>
        <v>4</v>
      </c>
      <c r="D977">
        <v>19.5</v>
      </c>
      <c r="E977" t="s">
        <v>7</v>
      </c>
      <c r="F977" t="s">
        <v>14</v>
      </c>
      <c r="G977">
        <v>60</v>
      </c>
    </row>
    <row r="978" spans="1:7" x14ac:dyDescent="0.2">
      <c r="A978">
        <f t="shared" si="16"/>
        <v>82</v>
      </c>
      <c r="B978" t="s">
        <v>6</v>
      </c>
      <c r="C978">
        <f>IF(data!$B978&lt;&gt;data!$B977,1,C977+1)</f>
        <v>5</v>
      </c>
      <c r="D978">
        <v>18</v>
      </c>
      <c r="E978" t="s">
        <v>7</v>
      </c>
      <c r="F978" t="s">
        <v>14</v>
      </c>
      <c r="G978">
        <v>60</v>
      </c>
    </row>
    <row r="979" spans="1:7" x14ac:dyDescent="0.2">
      <c r="A979">
        <f t="shared" si="16"/>
        <v>82</v>
      </c>
      <c r="B979" t="s">
        <v>6</v>
      </c>
      <c r="C979">
        <f>IF(data!$B979&lt;&gt;data!$B978,1,C978+1)</f>
        <v>6</v>
      </c>
      <c r="D979">
        <v>16.5</v>
      </c>
      <c r="E979" t="s">
        <v>7</v>
      </c>
      <c r="F979" t="s">
        <v>14</v>
      </c>
      <c r="G979">
        <v>60</v>
      </c>
    </row>
    <row r="980" spans="1:7" x14ac:dyDescent="0.2">
      <c r="A980">
        <f t="shared" si="16"/>
        <v>82</v>
      </c>
      <c r="B980" t="s">
        <v>6</v>
      </c>
      <c r="C980">
        <f>IF(data!$B980&lt;&gt;data!$B979,1,C979+1)</f>
        <v>7</v>
      </c>
      <c r="D980">
        <v>15</v>
      </c>
      <c r="E980" t="s">
        <v>7</v>
      </c>
      <c r="F980" t="s">
        <v>14</v>
      </c>
      <c r="G980">
        <v>60</v>
      </c>
    </row>
    <row r="981" spans="1:7" x14ac:dyDescent="0.2">
      <c r="A981">
        <f t="shared" si="16"/>
        <v>82</v>
      </c>
      <c r="B981" t="s">
        <v>6</v>
      </c>
      <c r="C981">
        <f>IF(data!$B981&lt;&gt;data!$B980,1,C980+1)</f>
        <v>8</v>
      </c>
      <c r="D981">
        <v>13.5</v>
      </c>
      <c r="E981" t="s">
        <v>7</v>
      </c>
      <c r="F981" t="s">
        <v>14</v>
      </c>
      <c r="G981">
        <v>60</v>
      </c>
    </row>
    <row r="982" spans="1:7" x14ac:dyDescent="0.2">
      <c r="A982">
        <f t="shared" si="16"/>
        <v>82</v>
      </c>
      <c r="B982" t="s">
        <v>6</v>
      </c>
      <c r="C982">
        <f>IF(data!$B982&lt;&gt;data!$B981,1,C981+1)</f>
        <v>9</v>
      </c>
      <c r="D982">
        <v>12</v>
      </c>
      <c r="E982" t="s">
        <v>7</v>
      </c>
      <c r="F982" t="s">
        <v>14</v>
      </c>
      <c r="G982">
        <v>60</v>
      </c>
    </row>
    <row r="983" spans="1:7" x14ac:dyDescent="0.2">
      <c r="A983">
        <f t="shared" si="16"/>
        <v>82</v>
      </c>
      <c r="B983" t="s">
        <v>6</v>
      </c>
      <c r="C983">
        <f>IF(data!$B983&lt;&gt;data!$B982,1,C982+1)</f>
        <v>10</v>
      </c>
      <c r="D983">
        <v>10.5</v>
      </c>
      <c r="E983" t="s">
        <v>7</v>
      </c>
      <c r="F983" t="s">
        <v>14</v>
      </c>
      <c r="G983">
        <v>60</v>
      </c>
    </row>
    <row r="984" spans="1:7" x14ac:dyDescent="0.2">
      <c r="A984">
        <f t="shared" si="16"/>
        <v>82</v>
      </c>
      <c r="B984" t="s">
        <v>6</v>
      </c>
      <c r="C984">
        <f>IF(data!$B984&lt;&gt;data!$B983,1,C983+1)</f>
        <v>11</v>
      </c>
      <c r="D984">
        <v>9</v>
      </c>
      <c r="E984" t="s">
        <v>7</v>
      </c>
      <c r="F984" t="s">
        <v>14</v>
      </c>
      <c r="G984">
        <v>60</v>
      </c>
    </row>
    <row r="985" spans="1:7" x14ac:dyDescent="0.2">
      <c r="A985">
        <f t="shared" si="16"/>
        <v>82</v>
      </c>
      <c r="B985" t="s">
        <v>6</v>
      </c>
      <c r="C985">
        <f>IF(data!$B985&lt;&gt;data!$B984,1,C984+1)</f>
        <v>12</v>
      </c>
      <c r="D985">
        <v>7.5</v>
      </c>
      <c r="E985" t="s">
        <v>7</v>
      </c>
      <c r="F985" t="s">
        <v>14</v>
      </c>
      <c r="G985">
        <v>60</v>
      </c>
    </row>
    <row r="986" spans="1:7" x14ac:dyDescent="0.2">
      <c r="A986">
        <f t="shared" si="16"/>
        <v>83</v>
      </c>
      <c r="B986" t="s">
        <v>5</v>
      </c>
      <c r="C986">
        <f>IF(data!$B986&lt;&gt;data!$B985,1,C985+1)</f>
        <v>1</v>
      </c>
      <c r="D986">
        <v>23</v>
      </c>
      <c r="E986" t="s">
        <v>13</v>
      </c>
      <c r="F986" t="s">
        <v>14</v>
      </c>
      <c r="G986">
        <v>60</v>
      </c>
    </row>
    <row r="987" spans="1:7" x14ac:dyDescent="0.2">
      <c r="A987">
        <f t="shared" si="16"/>
        <v>83</v>
      </c>
      <c r="B987" t="s">
        <v>5</v>
      </c>
      <c r="C987">
        <f>IF(data!$B987&lt;&gt;data!$B986,1,C986+1)</f>
        <v>2</v>
      </c>
      <c r="D987">
        <v>22.5</v>
      </c>
      <c r="E987" t="s">
        <v>13</v>
      </c>
      <c r="F987" t="s">
        <v>14</v>
      </c>
      <c r="G987">
        <v>60</v>
      </c>
    </row>
    <row r="988" spans="1:7" x14ac:dyDescent="0.2">
      <c r="A988">
        <f t="shared" si="16"/>
        <v>83</v>
      </c>
      <c r="B988" t="s">
        <v>5</v>
      </c>
      <c r="C988">
        <f>IF(data!$B988&lt;&gt;data!$B987,1,C987+1)</f>
        <v>3</v>
      </c>
      <c r="D988">
        <v>22</v>
      </c>
      <c r="E988" t="s">
        <v>13</v>
      </c>
      <c r="F988" t="s">
        <v>14</v>
      </c>
      <c r="G988">
        <v>60</v>
      </c>
    </row>
    <row r="989" spans="1:7" x14ac:dyDescent="0.2">
      <c r="A989">
        <f t="shared" si="16"/>
        <v>83</v>
      </c>
      <c r="B989" t="s">
        <v>5</v>
      </c>
      <c r="C989">
        <f>IF(data!$B989&lt;&gt;data!$B988,1,C988+1)</f>
        <v>4</v>
      </c>
      <c r="D989">
        <v>21.5</v>
      </c>
      <c r="E989" t="s">
        <v>13</v>
      </c>
      <c r="F989" t="s">
        <v>14</v>
      </c>
      <c r="G989">
        <v>60</v>
      </c>
    </row>
    <row r="990" spans="1:7" x14ac:dyDescent="0.2">
      <c r="A990">
        <f t="shared" si="16"/>
        <v>83</v>
      </c>
      <c r="B990" t="s">
        <v>5</v>
      </c>
      <c r="C990">
        <f>IF(data!$B990&lt;&gt;data!$B989,1,C989+1)</f>
        <v>5</v>
      </c>
      <c r="D990">
        <v>21</v>
      </c>
      <c r="E990" t="s">
        <v>13</v>
      </c>
      <c r="F990" t="s">
        <v>14</v>
      </c>
      <c r="G990">
        <v>60</v>
      </c>
    </row>
    <row r="991" spans="1:7" x14ac:dyDescent="0.2">
      <c r="A991">
        <f t="shared" si="16"/>
        <v>83</v>
      </c>
      <c r="B991" t="s">
        <v>5</v>
      </c>
      <c r="C991">
        <f>IF(data!$B991&lt;&gt;data!$B990,1,C990+1)</f>
        <v>6</v>
      </c>
      <c r="D991">
        <v>20.5</v>
      </c>
      <c r="E991" t="s">
        <v>13</v>
      </c>
      <c r="F991" t="s">
        <v>14</v>
      </c>
      <c r="G991">
        <v>60</v>
      </c>
    </row>
    <row r="992" spans="1:7" x14ac:dyDescent="0.2">
      <c r="A992">
        <f t="shared" si="16"/>
        <v>83</v>
      </c>
      <c r="B992" t="s">
        <v>5</v>
      </c>
      <c r="C992">
        <f>IF(data!$B992&lt;&gt;data!$B991,1,C991+1)</f>
        <v>7</v>
      </c>
      <c r="D992">
        <v>20</v>
      </c>
      <c r="E992" t="s">
        <v>13</v>
      </c>
      <c r="F992" t="s">
        <v>14</v>
      </c>
      <c r="G992">
        <v>60</v>
      </c>
    </row>
    <row r="993" spans="1:7" x14ac:dyDescent="0.2">
      <c r="A993">
        <f t="shared" si="16"/>
        <v>83</v>
      </c>
      <c r="B993" t="s">
        <v>5</v>
      </c>
      <c r="C993">
        <f>IF(data!$B993&lt;&gt;data!$B992,1,C992+1)</f>
        <v>8</v>
      </c>
      <c r="D993">
        <v>19.5</v>
      </c>
      <c r="E993" t="s">
        <v>13</v>
      </c>
      <c r="F993" t="s">
        <v>14</v>
      </c>
      <c r="G993">
        <v>60</v>
      </c>
    </row>
    <row r="994" spans="1:7" x14ac:dyDescent="0.2">
      <c r="A994">
        <f t="shared" si="16"/>
        <v>83</v>
      </c>
      <c r="B994" t="s">
        <v>5</v>
      </c>
      <c r="C994">
        <f>IF(data!$B994&lt;&gt;data!$B993,1,C993+1)</f>
        <v>9</v>
      </c>
      <c r="D994">
        <v>19</v>
      </c>
      <c r="E994" t="s">
        <v>13</v>
      </c>
      <c r="F994" t="s">
        <v>14</v>
      </c>
      <c r="G994">
        <v>60</v>
      </c>
    </row>
    <row r="995" spans="1:7" x14ac:dyDescent="0.2">
      <c r="A995">
        <f t="shared" ref="A995:A1058" si="17">IF(B995=B994,A994,A994+1)</f>
        <v>83</v>
      </c>
      <c r="B995" t="s">
        <v>5</v>
      </c>
      <c r="C995">
        <f>IF(data!$B995&lt;&gt;data!$B994,1,C994+1)</f>
        <v>10</v>
      </c>
      <c r="D995">
        <v>18.5</v>
      </c>
      <c r="E995" t="s">
        <v>13</v>
      </c>
      <c r="F995" t="s">
        <v>14</v>
      </c>
      <c r="G995">
        <v>60</v>
      </c>
    </row>
    <row r="996" spans="1:7" x14ac:dyDescent="0.2">
      <c r="A996">
        <f t="shared" si="17"/>
        <v>83</v>
      </c>
      <c r="B996" t="s">
        <v>5</v>
      </c>
      <c r="C996">
        <f>IF(data!$B996&lt;&gt;data!$B995,1,C995+1)</f>
        <v>11</v>
      </c>
      <c r="D996">
        <v>18</v>
      </c>
      <c r="E996" t="s">
        <v>13</v>
      </c>
      <c r="F996" t="s">
        <v>14</v>
      </c>
      <c r="G996">
        <v>60</v>
      </c>
    </row>
    <row r="997" spans="1:7" x14ac:dyDescent="0.2">
      <c r="A997">
        <f t="shared" si="17"/>
        <v>83</v>
      </c>
      <c r="B997" t="s">
        <v>5</v>
      </c>
      <c r="C997">
        <f>IF(data!$B997&lt;&gt;data!$B996,1,C996+1)</f>
        <v>12</v>
      </c>
      <c r="D997">
        <v>17.5</v>
      </c>
      <c r="E997" t="s">
        <v>13</v>
      </c>
      <c r="F997" t="s">
        <v>14</v>
      </c>
      <c r="G997">
        <v>60</v>
      </c>
    </row>
    <row r="998" spans="1:7" x14ac:dyDescent="0.2">
      <c r="A998">
        <f t="shared" si="17"/>
        <v>84</v>
      </c>
      <c r="B998" t="s">
        <v>6</v>
      </c>
      <c r="C998">
        <f>IF(data!$B998&lt;&gt;data!$B997,1,C997+1)</f>
        <v>1</v>
      </c>
      <c r="D998">
        <v>25</v>
      </c>
      <c r="E998" t="s">
        <v>13</v>
      </c>
      <c r="F998" t="s">
        <v>14</v>
      </c>
      <c r="G998">
        <v>60</v>
      </c>
    </row>
    <row r="999" spans="1:7" x14ac:dyDescent="0.2">
      <c r="A999">
        <f t="shared" si="17"/>
        <v>84</v>
      </c>
      <c r="B999" t="s">
        <v>6</v>
      </c>
      <c r="C999">
        <f>IF(data!$B999&lt;&gt;data!$B998,1,C998+1)</f>
        <v>2</v>
      </c>
      <c r="D999">
        <v>23.8</v>
      </c>
      <c r="E999" t="s">
        <v>13</v>
      </c>
      <c r="F999" t="s">
        <v>14</v>
      </c>
      <c r="G999">
        <v>60</v>
      </c>
    </row>
    <row r="1000" spans="1:7" x14ac:dyDescent="0.2">
      <c r="A1000">
        <f t="shared" si="17"/>
        <v>84</v>
      </c>
      <c r="B1000" t="s">
        <v>6</v>
      </c>
      <c r="C1000">
        <f>IF(data!$B1000&lt;&gt;data!$B999,1,C999+1)</f>
        <v>3</v>
      </c>
      <c r="D1000">
        <v>22.6</v>
      </c>
      <c r="E1000" t="s">
        <v>13</v>
      </c>
      <c r="F1000" t="s">
        <v>14</v>
      </c>
      <c r="G1000">
        <v>60</v>
      </c>
    </row>
    <row r="1001" spans="1:7" x14ac:dyDescent="0.2">
      <c r="A1001">
        <f t="shared" si="17"/>
        <v>84</v>
      </c>
      <c r="B1001" t="s">
        <v>6</v>
      </c>
      <c r="C1001">
        <f>IF(data!$B1001&lt;&gt;data!$B1000,1,C1000+1)</f>
        <v>4</v>
      </c>
      <c r="D1001">
        <v>21.400000000000002</v>
      </c>
      <c r="E1001" t="s">
        <v>13</v>
      </c>
      <c r="F1001" t="s">
        <v>14</v>
      </c>
      <c r="G1001">
        <v>60</v>
      </c>
    </row>
    <row r="1002" spans="1:7" x14ac:dyDescent="0.2">
      <c r="A1002">
        <f t="shared" si="17"/>
        <v>84</v>
      </c>
      <c r="B1002" t="s">
        <v>6</v>
      </c>
      <c r="C1002">
        <f>IF(data!$B1002&lt;&gt;data!$B1001,1,C1001+1)</f>
        <v>5</v>
      </c>
      <c r="D1002">
        <v>20.200000000000003</v>
      </c>
      <c r="E1002" t="s">
        <v>13</v>
      </c>
      <c r="F1002" t="s">
        <v>14</v>
      </c>
      <c r="G1002">
        <v>60</v>
      </c>
    </row>
    <row r="1003" spans="1:7" x14ac:dyDescent="0.2">
      <c r="A1003">
        <f t="shared" si="17"/>
        <v>84</v>
      </c>
      <c r="B1003" t="s">
        <v>6</v>
      </c>
      <c r="C1003">
        <f>IF(data!$B1003&lt;&gt;data!$B1002,1,C1002+1)</f>
        <v>6</v>
      </c>
      <c r="D1003">
        <v>19.000000000000004</v>
      </c>
      <c r="E1003" t="s">
        <v>13</v>
      </c>
      <c r="F1003" t="s">
        <v>14</v>
      </c>
      <c r="G1003">
        <v>60</v>
      </c>
    </row>
    <row r="1004" spans="1:7" x14ac:dyDescent="0.2">
      <c r="A1004">
        <f t="shared" si="17"/>
        <v>84</v>
      </c>
      <c r="B1004" t="s">
        <v>6</v>
      </c>
      <c r="C1004">
        <f>IF(data!$B1004&lt;&gt;data!$B1003,1,C1003+1)</f>
        <v>7</v>
      </c>
      <c r="D1004">
        <v>17.800000000000004</v>
      </c>
      <c r="E1004" t="s">
        <v>13</v>
      </c>
      <c r="F1004" t="s">
        <v>14</v>
      </c>
      <c r="G1004">
        <v>60</v>
      </c>
    </row>
    <row r="1005" spans="1:7" x14ac:dyDescent="0.2">
      <c r="A1005">
        <f t="shared" si="17"/>
        <v>84</v>
      </c>
      <c r="B1005" t="s">
        <v>6</v>
      </c>
      <c r="C1005">
        <f>IF(data!$B1005&lt;&gt;data!$B1004,1,C1004+1)</f>
        <v>8</v>
      </c>
      <c r="D1005">
        <v>16.600000000000005</v>
      </c>
      <c r="E1005" t="s">
        <v>13</v>
      </c>
      <c r="F1005" t="s">
        <v>14</v>
      </c>
      <c r="G1005">
        <v>60</v>
      </c>
    </row>
    <row r="1006" spans="1:7" x14ac:dyDescent="0.2">
      <c r="A1006">
        <f t="shared" si="17"/>
        <v>84</v>
      </c>
      <c r="B1006" t="s">
        <v>6</v>
      </c>
      <c r="C1006">
        <f>IF(data!$B1006&lt;&gt;data!$B1005,1,C1005+1)</f>
        <v>9</v>
      </c>
      <c r="D1006">
        <v>15.400000000000006</v>
      </c>
      <c r="E1006" t="s">
        <v>13</v>
      </c>
      <c r="F1006" t="s">
        <v>14</v>
      </c>
      <c r="G1006">
        <v>60</v>
      </c>
    </row>
    <row r="1007" spans="1:7" x14ac:dyDescent="0.2">
      <c r="A1007">
        <f t="shared" si="17"/>
        <v>84</v>
      </c>
      <c r="B1007" t="s">
        <v>6</v>
      </c>
      <c r="C1007">
        <f>IF(data!$B1007&lt;&gt;data!$B1006,1,C1006+1)</f>
        <v>10</v>
      </c>
      <c r="D1007">
        <v>14.200000000000006</v>
      </c>
      <c r="E1007" t="s">
        <v>13</v>
      </c>
      <c r="F1007" t="s">
        <v>14</v>
      </c>
      <c r="G1007">
        <v>60</v>
      </c>
    </row>
    <row r="1008" spans="1:7" x14ac:dyDescent="0.2">
      <c r="A1008">
        <f t="shared" si="17"/>
        <v>84</v>
      </c>
      <c r="B1008" t="s">
        <v>6</v>
      </c>
      <c r="C1008">
        <f>IF(data!$B1008&lt;&gt;data!$B1007,1,C1007+1)</f>
        <v>11</v>
      </c>
      <c r="D1008">
        <v>13.000000000000007</v>
      </c>
      <c r="E1008" t="s">
        <v>13</v>
      </c>
      <c r="F1008" t="s">
        <v>14</v>
      </c>
      <c r="G1008">
        <v>60</v>
      </c>
    </row>
    <row r="1009" spans="1:7" x14ac:dyDescent="0.2">
      <c r="A1009">
        <f t="shared" si="17"/>
        <v>84</v>
      </c>
      <c r="B1009" t="s">
        <v>6</v>
      </c>
      <c r="C1009">
        <f>IF(data!$B1009&lt;&gt;data!$B1008,1,C1008+1)</f>
        <v>12</v>
      </c>
      <c r="D1009">
        <v>11.800000000000008</v>
      </c>
      <c r="E1009" t="s">
        <v>13</v>
      </c>
      <c r="F1009" t="s">
        <v>14</v>
      </c>
      <c r="G1009">
        <v>60</v>
      </c>
    </row>
    <row r="1010" spans="1:7" x14ac:dyDescent="0.2">
      <c r="A1010">
        <f t="shared" si="17"/>
        <v>85</v>
      </c>
      <c r="B1010" t="s">
        <v>5</v>
      </c>
      <c r="C1010">
        <f>IF(data!$B1010&lt;&gt;data!$B1009,1,C1009+1)</f>
        <v>1</v>
      </c>
      <c r="D1010">
        <v>22</v>
      </c>
      <c r="E1010" t="s">
        <v>7</v>
      </c>
      <c r="F1010" t="s">
        <v>12</v>
      </c>
      <c r="G1010">
        <v>60</v>
      </c>
    </row>
    <row r="1011" spans="1:7" x14ac:dyDescent="0.2">
      <c r="A1011">
        <f t="shared" si="17"/>
        <v>85</v>
      </c>
      <c r="B1011" t="s">
        <v>5</v>
      </c>
      <c r="C1011">
        <f>IF(data!$B1011&lt;&gt;data!$B1010,1,C1010+1)</f>
        <v>2</v>
      </c>
      <c r="D1011">
        <v>20.698970004336019</v>
      </c>
      <c r="E1011" t="s">
        <v>7</v>
      </c>
      <c r="F1011" t="s">
        <v>12</v>
      </c>
      <c r="G1011">
        <v>60</v>
      </c>
    </row>
    <row r="1012" spans="1:7" x14ac:dyDescent="0.2">
      <c r="A1012">
        <f t="shared" si="17"/>
        <v>85</v>
      </c>
      <c r="B1012" t="s">
        <v>5</v>
      </c>
      <c r="C1012">
        <f>IF(data!$B1012&lt;&gt;data!$B1011,1,C1011+1)</f>
        <v>3</v>
      </c>
      <c r="D1012">
        <v>19.522878745280337</v>
      </c>
      <c r="E1012" t="s">
        <v>7</v>
      </c>
      <c r="F1012" t="s">
        <v>12</v>
      </c>
      <c r="G1012">
        <v>60</v>
      </c>
    </row>
    <row r="1013" spans="1:7" x14ac:dyDescent="0.2">
      <c r="A1013">
        <f t="shared" si="17"/>
        <v>85</v>
      </c>
      <c r="B1013" t="s">
        <v>5</v>
      </c>
      <c r="C1013">
        <f>IF(data!$B1013&lt;&gt;data!$B1012,1,C1012+1)</f>
        <v>4</v>
      </c>
      <c r="D1013">
        <v>18.397940008672037</v>
      </c>
      <c r="E1013" t="s">
        <v>7</v>
      </c>
      <c r="F1013" t="s">
        <v>12</v>
      </c>
      <c r="G1013">
        <v>60</v>
      </c>
    </row>
    <row r="1014" spans="1:7" x14ac:dyDescent="0.2">
      <c r="A1014">
        <f t="shared" si="17"/>
        <v>85</v>
      </c>
      <c r="B1014" t="s">
        <v>5</v>
      </c>
      <c r="C1014">
        <f>IF(data!$B1014&lt;&gt;data!$B1013,1,C1013+1)</f>
        <v>5</v>
      </c>
      <c r="D1014">
        <v>17.301029995663981</v>
      </c>
      <c r="E1014" t="s">
        <v>7</v>
      </c>
      <c r="F1014" t="s">
        <v>12</v>
      </c>
      <c r="G1014">
        <v>60</v>
      </c>
    </row>
    <row r="1015" spans="1:7" x14ac:dyDescent="0.2">
      <c r="A1015">
        <f t="shared" si="17"/>
        <v>85</v>
      </c>
      <c r="B1015" t="s">
        <v>5</v>
      </c>
      <c r="C1015">
        <f>IF(data!$B1015&lt;&gt;data!$B1014,1,C1014+1)</f>
        <v>6</v>
      </c>
      <c r="D1015">
        <v>16.221848749616356</v>
      </c>
      <c r="E1015" t="s">
        <v>7</v>
      </c>
      <c r="F1015" t="s">
        <v>12</v>
      </c>
      <c r="G1015">
        <v>60</v>
      </c>
    </row>
    <row r="1016" spans="1:7" x14ac:dyDescent="0.2">
      <c r="A1016">
        <f t="shared" si="17"/>
        <v>85</v>
      </c>
      <c r="B1016" t="s">
        <v>5</v>
      </c>
      <c r="C1016">
        <f>IF(data!$B1016&lt;&gt;data!$B1015,1,C1015+1)</f>
        <v>7</v>
      </c>
      <c r="D1016">
        <v>15.154901959985743</v>
      </c>
      <c r="E1016" t="s">
        <v>7</v>
      </c>
      <c r="F1016" t="s">
        <v>12</v>
      </c>
      <c r="G1016">
        <v>60</v>
      </c>
    </row>
    <row r="1017" spans="1:7" x14ac:dyDescent="0.2">
      <c r="A1017">
        <f t="shared" si="17"/>
        <v>85</v>
      </c>
      <c r="B1017" t="s">
        <v>5</v>
      </c>
      <c r="C1017">
        <f>IF(data!$B1017&lt;&gt;data!$B1016,1,C1016+1)</f>
        <v>8</v>
      </c>
      <c r="D1017">
        <v>14.096910013008056</v>
      </c>
      <c r="E1017" t="s">
        <v>7</v>
      </c>
      <c r="F1017" t="s">
        <v>12</v>
      </c>
      <c r="G1017">
        <v>60</v>
      </c>
    </row>
    <row r="1018" spans="1:7" x14ac:dyDescent="0.2">
      <c r="A1018">
        <f t="shared" si="17"/>
        <v>85</v>
      </c>
      <c r="B1018" t="s">
        <v>5</v>
      </c>
      <c r="C1018">
        <f>IF(data!$B1018&lt;&gt;data!$B1017,1,C1017+1)</f>
        <v>9</v>
      </c>
      <c r="D1018">
        <v>13.045757490560675</v>
      </c>
      <c r="E1018" t="s">
        <v>7</v>
      </c>
      <c r="F1018" t="s">
        <v>12</v>
      </c>
      <c r="G1018">
        <v>60</v>
      </c>
    </row>
    <row r="1019" spans="1:7" x14ac:dyDescent="0.2">
      <c r="A1019">
        <f t="shared" si="17"/>
        <v>85</v>
      </c>
      <c r="B1019" t="s">
        <v>5</v>
      </c>
      <c r="C1019">
        <f>IF(data!$B1019&lt;&gt;data!$B1018,1,C1018+1)</f>
        <v>10</v>
      </c>
      <c r="D1019">
        <v>12</v>
      </c>
      <c r="E1019" t="s">
        <v>7</v>
      </c>
      <c r="F1019" t="s">
        <v>12</v>
      </c>
      <c r="G1019">
        <v>60</v>
      </c>
    </row>
    <row r="1020" spans="1:7" x14ac:dyDescent="0.2">
      <c r="A1020">
        <f t="shared" si="17"/>
        <v>85</v>
      </c>
      <c r="B1020" t="s">
        <v>5</v>
      </c>
      <c r="C1020">
        <f>IF(data!$B1020&lt;&gt;data!$B1019,1,C1019+1)</f>
        <v>11</v>
      </c>
      <c r="D1020">
        <v>10.958607314841775</v>
      </c>
      <c r="E1020" t="s">
        <v>7</v>
      </c>
      <c r="F1020" t="s">
        <v>12</v>
      </c>
      <c r="G1020">
        <v>60</v>
      </c>
    </row>
    <row r="1021" spans="1:7" x14ac:dyDescent="0.2">
      <c r="A1021">
        <f t="shared" si="17"/>
        <v>85</v>
      </c>
      <c r="B1021" t="s">
        <v>5</v>
      </c>
      <c r="C1021">
        <f>IF(data!$B1021&lt;&gt;data!$B1020,1,C1020+1)</f>
        <v>12</v>
      </c>
      <c r="D1021">
        <v>9.9208187539523749</v>
      </c>
      <c r="E1021" t="s">
        <v>7</v>
      </c>
      <c r="F1021" t="s">
        <v>12</v>
      </c>
      <c r="G1021">
        <v>60</v>
      </c>
    </row>
    <row r="1022" spans="1:7" x14ac:dyDescent="0.2">
      <c r="A1022">
        <f t="shared" si="17"/>
        <v>86</v>
      </c>
      <c r="B1022" t="s">
        <v>6</v>
      </c>
      <c r="C1022">
        <f>IF(data!$B1022&lt;&gt;data!$B1021,1,C1021+1)</f>
        <v>1</v>
      </c>
      <c r="D1022">
        <v>24</v>
      </c>
      <c r="E1022" t="s">
        <v>7</v>
      </c>
      <c r="F1022" t="s">
        <v>12</v>
      </c>
      <c r="G1022">
        <v>60</v>
      </c>
    </row>
    <row r="1023" spans="1:7" x14ac:dyDescent="0.2">
      <c r="A1023">
        <f t="shared" si="17"/>
        <v>86</v>
      </c>
      <c r="B1023" t="s">
        <v>6</v>
      </c>
      <c r="C1023">
        <f>IF(data!$B1023&lt;&gt;data!$B1022,1,C1022+1)</f>
        <v>2</v>
      </c>
      <c r="D1023">
        <v>22.198970004336019</v>
      </c>
      <c r="E1023" t="s">
        <v>7</v>
      </c>
      <c r="F1023" t="s">
        <v>12</v>
      </c>
      <c r="G1023">
        <v>60</v>
      </c>
    </row>
    <row r="1024" spans="1:7" x14ac:dyDescent="0.2">
      <c r="A1024">
        <f t="shared" si="17"/>
        <v>86</v>
      </c>
      <c r="B1024" t="s">
        <v>6</v>
      </c>
      <c r="C1024">
        <f>IF(data!$B1024&lt;&gt;data!$B1023,1,C1023+1)</f>
        <v>3</v>
      </c>
      <c r="D1024">
        <v>20.522878745280337</v>
      </c>
      <c r="E1024" t="s">
        <v>7</v>
      </c>
      <c r="F1024" t="s">
        <v>12</v>
      </c>
      <c r="G1024">
        <v>60</v>
      </c>
    </row>
    <row r="1025" spans="1:7" x14ac:dyDescent="0.2">
      <c r="A1025">
        <f t="shared" si="17"/>
        <v>86</v>
      </c>
      <c r="B1025" t="s">
        <v>6</v>
      </c>
      <c r="C1025">
        <f>IF(data!$B1025&lt;&gt;data!$B1024,1,C1024+1)</f>
        <v>4</v>
      </c>
      <c r="D1025">
        <v>18.897940008672037</v>
      </c>
      <c r="E1025" t="s">
        <v>7</v>
      </c>
      <c r="F1025" t="s">
        <v>12</v>
      </c>
      <c r="G1025">
        <v>60</v>
      </c>
    </row>
    <row r="1026" spans="1:7" x14ac:dyDescent="0.2">
      <c r="A1026">
        <f t="shared" si="17"/>
        <v>86</v>
      </c>
      <c r="B1026" t="s">
        <v>6</v>
      </c>
      <c r="C1026">
        <f>IF(data!$B1026&lt;&gt;data!$B1025,1,C1025+1)</f>
        <v>5</v>
      </c>
      <c r="D1026">
        <v>17.301029995663981</v>
      </c>
      <c r="E1026" t="s">
        <v>7</v>
      </c>
      <c r="F1026" t="s">
        <v>12</v>
      </c>
      <c r="G1026">
        <v>60</v>
      </c>
    </row>
    <row r="1027" spans="1:7" x14ac:dyDescent="0.2">
      <c r="A1027">
        <f t="shared" si="17"/>
        <v>86</v>
      </c>
      <c r="B1027" t="s">
        <v>6</v>
      </c>
      <c r="C1027">
        <f>IF(data!$B1027&lt;&gt;data!$B1026,1,C1026+1)</f>
        <v>6</v>
      </c>
      <c r="D1027">
        <v>15.721848749616356</v>
      </c>
      <c r="E1027" t="s">
        <v>7</v>
      </c>
      <c r="F1027" t="s">
        <v>12</v>
      </c>
      <c r="G1027">
        <v>60</v>
      </c>
    </row>
    <row r="1028" spans="1:7" x14ac:dyDescent="0.2">
      <c r="A1028">
        <f t="shared" si="17"/>
        <v>86</v>
      </c>
      <c r="B1028" t="s">
        <v>6</v>
      </c>
      <c r="C1028">
        <f>IF(data!$B1028&lt;&gt;data!$B1027,1,C1027+1)</f>
        <v>7</v>
      </c>
      <c r="D1028">
        <v>14.154901959985743</v>
      </c>
      <c r="E1028" t="s">
        <v>7</v>
      </c>
      <c r="F1028" t="s">
        <v>12</v>
      </c>
      <c r="G1028">
        <v>60</v>
      </c>
    </row>
    <row r="1029" spans="1:7" x14ac:dyDescent="0.2">
      <c r="A1029">
        <f t="shared" si="17"/>
        <v>86</v>
      </c>
      <c r="B1029" t="s">
        <v>6</v>
      </c>
      <c r="C1029">
        <f>IF(data!$B1029&lt;&gt;data!$B1028,1,C1028+1)</f>
        <v>8</v>
      </c>
      <c r="D1029">
        <v>12.596910013008056</v>
      </c>
      <c r="E1029" t="s">
        <v>7</v>
      </c>
      <c r="F1029" t="s">
        <v>12</v>
      </c>
      <c r="G1029">
        <v>60</v>
      </c>
    </row>
    <row r="1030" spans="1:7" x14ac:dyDescent="0.2">
      <c r="A1030">
        <f t="shared" si="17"/>
        <v>86</v>
      </c>
      <c r="B1030" t="s">
        <v>6</v>
      </c>
      <c r="C1030">
        <f>IF(data!$B1030&lt;&gt;data!$B1029,1,C1029+1)</f>
        <v>9</v>
      </c>
      <c r="D1030">
        <v>11.045757490560675</v>
      </c>
      <c r="E1030" t="s">
        <v>7</v>
      </c>
      <c r="F1030" t="s">
        <v>12</v>
      </c>
      <c r="G1030">
        <v>60</v>
      </c>
    </row>
    <row r="1031" spans="1:7" x14ac:dyDescent="0.2">
      <c r="A1031">
        <f t="shared" si="17"/>
        <v>86</v>
      </c>
      <c r="B1031" t="s">
        <v>6</v>
      </c>
      <c r="C1031">
        <f>IF(data!$B1031&lt;&gt;data!$B1030,1,C1030+1)</f>
        <v>10</v>
      </c>
      <c r="D1031">
        <v>9.5</v>
      </c>
      <c r="E1031" t="s">
        <v>7</v>
      </c>
      <c r="F1031" t="s">
        <v>12</v>
      </c>
      <c r="G1031">
        <v>60</v>
      </c>
    </row>
    <row r="1032" spans="1:7" x14ac:dyDescent="0.2">
      <c r="A1032">
        <f t="shared" si="17"/>
        <v>86</v>
      </c>
      <c r="B1032" t="s">
        <v>6</v>
      </c>
      <c r="C1032">
        <f>IF(data!$B1032&lt;&gt;data!$B1031,1,C1031+1)</f>
        <v>11</v>
      </c>
      <c r="D1032">
        <v>7.9586073148417746</v>
      </c>
      <c r="E1032" t="s">
        <v>7</v>
      </c>
      <c r="F1032" t="s">
        <v>12</v>
      </c>
      <c r="G1032">
        <v>60</v>
      </c>
    </row>
    <row r="1033" spans="1:7" x14ac:dyDescent="0.2">
      <c r="A1033">
        <f t="shared" si="17"/>
        <v>86</v>
      </c>
      <c r="B1033" t="s">
        <v>6</v>
      </c>
      <c r="C1033">
        <f>IF(data!$B1033&lt;&gt;data!$B1032,1,C1032+1)</f>
        <v>12</v>
      </c>
      <c r="D1033">
        <v>6.4208187539523749</v>
      </c>
      <c r="E1033" t="s">
        <v>7</v>
      </c>
      <c r="F1033" t="s">
        <v>12</v>
      </c>
      <c r="G1033">
        <v>60</v>
      </c>
    </row>
    <row r="1034" spans="1:7" x14ac:dyDescent="0.2">
      <c r="A1034">
        <f t="shared" si="17"/>
        <v>87</v>
      </c>
      <c r="B1034" t="s">
        <v>5</v>
      </c>
      <c r="C1034">
        <f>IF(data!$B1034&lt;&gt;data!$B1033,1,C1033+1)</f>
        <v>1</v>
      </c>
      <c r="D1034">
        <v>23</v>
      </c>
      <c r="E1034" t="s">
        <v>13</v>
      </c>
      <c r="F1034" t="s">
        <v>12</v>
      </c>
      <c r="G1034">
        <v>60</v>
      </c>
    </row>
    <row r="1035" spans="1:7" x14ac:dyDescent="0.2">
      <c r="A1035">
        <f t="shared" si="17"/>
        <v>87</v>
      </c>
      <c r="B1035" t="s">
        <v>5</v>
      </c>
      <c r="C1035">
        <f>IF(data!$B1035&lt;&gt;data!$B1034,1,C1034+1)</f>
        <v>2</v>
      </c>
      <c r="D1035">
        <v>22.198970004336019</v>
      </c>
      <c r="E1035" t="s">
        <v>13</v>
      </c>
      <c r="F1035" t="s">
        <v>12</v>
      </c>
      <c r="G1035">
        <v>60</v>
      </c>
    </row>
    <row r="1036" spans="1:7" x14ac:dyDescent="0.2">
      <c r="A1036">
        <f t="shared" si="17"/>
        <v>87</v>
      </c>
      <c r="B1036" t="s">
        <v>5</v>
      </c>
      <c r="C1036">
        <f>IF(data!$B1036&lt;&gt;data!$B1035,1,C1035+1)</f>
        <v>3</v>
      </c>
      <c r="D1036">
        <v>21.522878745280337</v>
      </c>
      <c r="E1036" t="s">
        <v>13</v>
      </c>
      <c r="F1036" t="s">
        <v>12</v>
      </c>
      <c r="G1036">
        <v>60</v>
      </c>
    </row>
    <row r="1037" spans="1:7" x14ac:dyDescent="0.2">
      <c r="A1037">
        <f t="shared" si="17"/>
        <v>87</v>
      </c>
      <c r="B1037" t="s">
        <v>5</v>
      </c>
      <c r="C1037">
        <f>IF(data!$B1037&lt;&gt;data!$B1036,1,C1036+1)</f>
        <v>4</v>
      </c>
      <c r="D1037">
        <v>20.897940008672037</v>
      </c>
      <c r="E1037" t="s">
        <v>13</v>
      </c>
      <c r="F1037" t="s">
        <v>12</v>
      </c>
      <c r="G1037">
        <v>60</v>
      </c>
    </row>
    <row r="1038" spans="1:7" x14ac:dyDescent="0.2">
      <c r="A1038">
        <f t="shared" si="17"/>
        <v>87</v>
      </c>
      <c r="B1038" t="s">
        <v>5</v>
      </c>
      <c r="C1038">
        <f>IF(data!$B1038&lt;&gt;data!$B1037,1,C1037+1)</f>
        <v>5</v>
      </c>
      <c r="D1038">
        <v>20.301029995663981</v>
      </c>
      <c r="E1038" t="s">
        <v>13</v>
      </c>
      <c r="F1038" t="s">
        <v>12</v>
      </c>
      <c r="G1038">
        <v>60</v>
      </c>
    </row>
    <row r="1039" spans="1:7" x14ac:dyDescent="0.2">
      <c r="A1039">
        <f t="shared" si="17"/>
        <v>87</v>
      </c>
      <c r="B1039" t="s">
        <v>5</v>
      </c>
      <c r="C1039">
        <f>IF(data!$B1039&lt;&gt;data!$B1038,1,C1038+1)</f>
        <v>6</v>
      </c>
      <c r="D1039">
        <v>19.721848749616356</v>
      </c>
      <c r="E1039" t="s">
        <v>13</v>
      </c>
      <c r="F1039" t="s">
        <v>12</v>
      </c>
      <c r="G1039">
        <v>60</v>
      </c>
    </row>
    <row r="1040" spans="1:7" x14ac:dyDescent="0.2">
      <c r="A1040">
        <f t="shared" si="17"/>
        <v>87</v>
      </c>
      <c r="B1040" t="s">
        <v>5</v>
      </c>
      <c r="C1040">
        <f>IF(data!$B1040&lt;&gt;data!$B1039,1,C1039+1)</f>
        <v>7</v>
      </c>
      <c r="D1040">
        <v>19.154901959985743</v>
      </c>
      <c r="E1040" t="s">
        <v>13</v>
      </c>
      <c r="F1040" t="s">
        <v>12</v>
      </c>
      <c r="G1040">
        <v>60</v>
      </c>
    </row>
    <row r="1041" spans="1:7" x14ac:dyDescent="0.2">
      <c r="A1041">
        <f t="shared" si="17"/>
        <v>87</v>
      </c>
      <c r="B1041" t="s">
        <v>5</v>
      </c>
      <c r="C1041">
        <f>IF(data!$B1041&lt;&gt;data!$B1040,1,C1040+1)</f>
        <v>8</v>
      </c>
      <c r="D1041">
        <v>18.596910013008056</v>
      </c>
      <c r="E1041" t="s">
        <v>13</v>
      </c>
      <c r="F1041" t="s">
        <v>12</v>
      </c>
      <c r="G1041">
        <v>60</v>
      </c>
    </row>
    <row r="1042" spans="1:7" x14ac:dyDescent="0.2">
      <c r="A1042">
        <f t="shared" si="17"/>
        <v>87</v>
      </c>
      <c r="B1042" t="s">
        <v>5</v>
      </c>
      <c r="C1042">
        <f>IF(data!$B1042&lt;&gt;data!$B1041,1,C1041+1)</f>
        <v>9</v>
      </c>
      <c r="D1042">
        <v>18.045757490560675</v>
      </c>
      <c r="E1042" t="s">
        <v>13</v>
      </c>
      <c r="F1042" t="s">
        <v>12</v>
      </c>
      <c r="G1042">
        <v>60</v>
      </c>
    </row>
    <row r="1043" spans="1:7" x14ac:dyDescent="0.2">
      <c r="A1043">
        <f t="shared" si="17"/>
        <v>87</v>
      </c>
      <c r="B1043" t="s">
        <v>5</v>
      </c>
      <c r="C1043">
        <f>IF(data!$B1043&lt;&gt;data!$B1042,1,C1042+1)</f>
        <v>10</v>
      </c>
      <c r="D1043">
        <v>17.5</v>
      </c>
      <c r="E1043" t="s">
        <v>13</v>
      </c>
      <c r="F1043" t="s">
        <v>12</v>
      </c>
      <c r="G1043">
        <v>60</v>
      </c>
    </row>
    <row r="1044" spans="1:7" x14ac:dyDescent="0.2">
      <c r="A1044">
        <f t="shared" si="17"/>
        <v>87</v>
      </c>
      <c r="B1044" t="s">
        <v>5</v>
      </c>
      <c r="C1044">
        <f>IF(data!$B1044&lt;&gt;data!$B1043,1,C1043+1)</f>
        <v>11</v>
      </c>
      <c r="D1044">
        <v>16.958607314841775</v>
      </c>
      <c r="E1044" t="s">
        <v>13</v>
      </c>
      <c r="F1044" t="s">
        <v>12</v>
      </c>
      <c r="G1044">
        <v>60</v>
      </c>
    </row>
    <row r="1045" spans="1:7" x14ac:dyDescent="0.2">
      <c r="A1045">
        <f t="shared" si="17"/>
        <v>87</v>
      </c>
      <c r="B1045" t="s">
        <v>5</v>
      </c>
      <c r="C1045">
        <f>IF(data!$B1045&lt;&gt;data!$B1044,1,C1044+1)</f>
        <v>12</v>
      </c>
      <c r="D1045">
        <v>16.420818753952375</v>
      </c>
      <c r="E1045" t="s">
        <v>13</v>
      </c>
      <c r="F1045" t="s">
        <v>12</v>
      </c>
      <c r="G1045">
        <v>60</v>
      </c>
    </row>
    <row r="1046" spans="1:7" x14ac:dyDescent="0.2">
      <c r="A1046">
        <f t="shared" si="17"/>
        <v>88</v>
      </c>
      <c r="B1046" t="s">
        <v>6</v>
      </c>
      <c r="C1046">
        <f>IF(data!$B1046&lt;&gt;data!$B1045,1,C1045+1)</f>
        <v>1</v>
      </c>
      <c r="D1046">
        <v>25</v>
      </c>
      <c r="E1046" t="s">
        <v>13</v>
      </c>
      <c r="F1046" t="s">
        <v>12</v>
      </c>
      <c r="G1046">
        <v>60</v>
      </c>
    </row>
    <row r="1047" spans="1:7" x14ac:dyDescent="0.2">
      <c r="A1047">
        <f t="shared" si="17"/>
        <v>88</v>
      </c>
      <c r="B1047" t="s">
        <v>6</v>
      </c>
      <c r="C1047">
        <f>IF(data!$B1047&lt;&gt;data!$B1046,1,C1046+1)</f>
        <v>2</v>
      </c>
      <c r="D1047">
        <v>23.498970004336019</v>
      </c>
      <c r="E1047" t="s">
        <v>13</v>
      </c>
      <c r="F1047" t="s">
        <v>12</v>
      </c>
      <c r="G1047">
        <v>60</v>
      </c>
    </row>
    <row r="1048" spans="1:7" x14ac:dyDescent="0.2">
      <c r="A1048">
        <f t="shared" si="17"/>
        <v>88</v>
      </c>
      <c r="B1048" t="s">
        <v>6</v>
      </c>
      <c r="C1048">
        <f>IF(data!$B1048&lt;&gt;data!$B1047,1,C1047+1)</f>
        <v>3</v>
      </c>
      <c r="D1048">
        <v>22.122878745280339</v>
      </c>
      <c r="E1048" t="s">
        <v>13</v>
      </c>
      <c r="F1048" t="s">
        <v>12</v>
      </c>
      <c r="G1048">
        <v>60</v>
      </c>
    </row>
    <row r="1049" spans="1:7" x14ac:dyDescent="0.2">
      <c r="A1049">
        <f t="shared" si="17"/>
        <v>88</v>
      </c>
      <c r="B1049" t="s">
        <v>6</v>
      </c>
      <c r="C1049">
        <f>IF(data!$B1049&lt;&gt;data!$B1048,1,C1048+1)</f>
        <v>4</v>
      </c>
      <c r="D1049">
        <v>20.79794000867204</v>
      </c>
      <c r="E1049" t="s">
        <v>13</v>
      </c>
      <c r="F1049" t="s">
        <v>12</v>
      </c>
      <c r="G1049">
        <v>60</v>
      </c>
    </row>
    <row r="1050" spans="1:7" x14ac:dyDescent="0.2">
      <c r="A1050">
        <f t="shared" si="17"/>
        <v>88</v>
      </c>
      <c r="B1050" t="s">
        <v>6</v>
      </c>
      <c r="C1050">
        <f>IF(data!$B1050&lt;&gt;data!$B1049,1,C1049+1)</f>
        <v>5</v>
      </c>
      <c r="D1050">
        <v>19.501029995663984</v>
      </c>
      <c r="E1050" t="s">
        <v>13</v>
      </c>
      <c r="F1050" t="s">
        <v>12</v>
      </c>
      <c r="G1050">
        <v>60</v>
      </c>
    </row>
    <row r="1051" spans="1:7" x14ac:dyDescent="0.2">
      <c r="A1051">
        <f t="shared" si="17"/>
        <v>88</v>
      </c>
      <c r="B1051" t="s">
        <v>6</v>
      </c>
      <c r="C1051">
        <f>IF(data!$B1051&lt;&gt;data!$B1050,1,C1050+1)</f>
        <v>6</v>
      </c>
      <c r="D1051">
        <v>18.22184874961636</v>
      </c>
      <c r="E1051" t="s">
        <v>13</v>
      </c>
      <c r="F1051" t="s">
        <v>12</v>
      </c>
      <c r="G1051">
        <v>60</v>
      </c>
    </row>
    <row r="1052" spans="1:7" x14ac:dyDescent="0.2">
      <c r="A1052">
        <f t="shared" si="17"/>
        <v>88</v>
      </c>
      <c r="B1052" t="s">
        <v>6</v>
      </c>
      <c r="C1052">
        <f>IF(data!$B1052&lt;&gt;data!$B1051,1,C1051+1)</f>
        <v>7</v>
      </c>
      <c r="D1052">
        <v>16.954901959985747</v>
      </c>
      <c r="E1052" t="s">
        <v>13</v>
      </c>
      <c r="F1052" t="s">
        <v>12</v>
      </c>
      <c r="G1052">
        <v>60</v>
      </c>
    </row>
    <row r="1053" spans="1:7" x14ac:dyDescent="0.2">
      <c r="A1053">
        <f t="shared" si="17"/>
        <v>88</v>
      </c>
      <c r="B1053" t="s">
        <v>6</v>
      </c>
      <c r="C1053">
        <f>IF(data!$B1053&lt;&gt;data!$B1052,1,C1052+1)</f>
        <v>8</v>
      </c>
      <c r="D1053">
        <v>15.696910013008061</v>
      </c>
      <c r="E1053" t="s">
        <v>13</v>
      </c>
      <c r="F1053" t="s">
        <v>12</v>
      </c>
      <c r="G1053">
        <v>60</v>
      </c>
    </row>
    <row r="1054" spans="1:7" x14ac:dyDescent="0.2">
      <c r="A1054">
        <f t="shared" si="17"/>
        <v>88</v>
      </c>
      <c r="B1054" t="s">
        <v>6</v>
      </c>
      <c r="C1054">
        <f>IF(data!$B1054&lt;&gt;data!$B1053,1,C1053+1)</f>
        <v>9</v>
      </c>
      <c r="D1054">
        <v>14.44575749056068</v>
      </c>
      <c r="E1054" t="s">
        <v>13</v>
      </c>
      <c r="F1054" t="s">
        <v>12</v>
      </c>
      <c r="G1054">
        <v>60</v>
      </c>
    </row>
    <row r="1055" spans="1:7" x14ac:dyDescent="0.2">
      <c r="A1055">
        <f t="shared" si="17"/>
        <v>88</v>
      </c>
      <c r="B1055" t="s">
        <v>6</v>
      </c>
      <c r="C1055">
        <f>IF(data!$B1055&lt;&gt;data!$B1054,1,C1054+1)</f>
        <v>10</v>
      </c>
      <c r="D1055">
        <v>13.200000000000006</v>
      </c>
      <c r="E1055" t="s">
        <v>13</v>
      </c>
      <c r="F1055" t="s">
        <v>12</v>
      </c>
      <c r="G1055">
        <v>60</v>
      </c>
    </row>
    <row r="1056" spans="1:7" x14ac:dyDescent="0.2">
      <c r="A1056">
        <f t="shared" si="17"/>
        <v>88</v>
      </c>
      <c r="B1056" t="s">
        <v>6</v>
      </c>
      <c r="C1056">
        <f>IF(data!$B1056&lt;&gt;data!$B1055,1,C1055+1)</f>
        <v>11</v>
      </c>
      <c r="D1056">
        <v>11.958607314841782</v>
      </c>
      <c r="E1056" t="s">
        <v>13</v>
      </c>
      <c r="F1056" t="s">
        <v>12</v>
      </c>
      <c r="G1056">
        <v>60</v>
      </c>
    </row>
    <row r="1057" spans="1:7" x14ac:dyDescent="0.2">
      <c r="A1057">
        <f t="shared" si="17"/>
        <v>88</v>
      </c>
      <c r="B1057" t="s">
        <v>6</v>
      </c>
      <c r="C1057">
        <f>IF(data!$B1057&lt;&gt;data!$B1056,1,C1056+1)</f>
        <v>12</v>
      </c>
      <c r="D1057">
        <v>10.720818753952383</v>
      </c>
      <c r="E1057" t="s">
        <v>13</v>
      </c>
      <c r="F1057" t="s">
        <v>12</v>
      </c>
      <c r="G1057">
        <v>60</v>
      </c>
    </row>
    <row r="1058" spans="1:7" x14ac:dyDescent="0.2">
      <c r="A1058">
        <f t="shared" si="17"/>
        <v>89</v>
      </c>
      <c r="B1058" t="s">
        <v>5</v>
      </c>
      <c r="C1058">
        <f>IF(data!$B1058&lt;&gt;data!$B1057,1,C1057+1)</f>
        <v>1</v>
      </c>
      <c r="D1058">
        <v>20</v>
      </c>
      <c r="E1058" t="s">
        <v>7</v>
      </c>
      <c r="F1058" t="s">
        <v>14</v>
      </c>
      <c r="G1058">
        <v>60</v>
      </c>
    </row>
    <row r="1059" spans="1:7" x14ac:dyDescent="0.2">
      <c r="A1059">
        <f t="shared" ref="A1059:A1122" si="18">IF(B1059=B1058,A1058,A1058+1)</f>
        <v>89</v>
      </c>
      <c r="B1059" t="s">
        <v>5</v>
      </c>
      <c r="C1059">
        <f>IF(data!$B1059&lt;&gt;data!$B1058,1,C1058+1)</f>
        <v>2</v>
      </c>
      <c r="D1059">
        <v>19</v>
      </c>
      <c r="E1059" t="s">
        <v>7</v>
      </c>
      <c r="F1059" t="s">
        <v>14</v>
      </c>
      <c r="G1059">
        <v>60</v>
      </c>
    </row>
    <row r="1060" spans="1:7" x14ac:dyDescent="0.2">
      <c r="A1060">
        <f t="shared" si="18"/>
        <v>89</v>
      </c>
      <c r="B1060" t="s">
        <v>5</v>
      </c>
      <c r="C1060">
        <f>IF(data!$B1060&lt;&gt;data!$B1059,1,C1059+1)</f>
        <v>3</v>
      </c>
      <c r="D1060">
        <v>18</v>
      </c>
      <c r="E1060" t="s">
        <v>7</v>
      </c>
      <c r="F1060" t="s">
        <v>14</v>
      </c>
      <c r="G1060">
        <v>60</v>
      </c>
    </row>
    <row r="1061" spans="1:7" x14ac:dyDescent="0.2">
      <c r="A1061">
        <f t="shared" si="18"/>
        <v>89</v>
      </c>
      <c r="B1061" t="s">
        <v>5</v>
      </c>
      <c r="C1061">
        <f>IF(data!$B1061&lt;&gt;data!$B1060,1,C1060+1)</f>
        <v>4</v>
      </c>
      <c r="D1061">
        <v>17</v>
      </c>
      <c r="E1061" t="s">
        <v>7</v>
      </c>
      <c r="F1061" t="s">
        <v>14</v>
      </c>
      <c r="G1061">
        <v>60</v>
      </c>
    </row>
    <row r="1062" spans="1:7" x14ac:dyDescent="0.2">
      <c r="A1062">
        <f t="shared" si="18"/>
        <v>89</v>
      </c>
      <c r="B1062" t="s">
        <v>5</v>
      </c>
      <c r="C1062">
        <f>IF(data!$B1062&lt;&gt;data!$B1061,1,C1061+1)</f>
        <v>5</v>
      </c>
      <c r="D1062">
        <v>16</v>
      </c>
      <c r="E1062" t="s">
        <v>7</v>
      </c>
      <c r="F1062" t="s">
        <v>14</v>
      </c>
      <c r="G1062">
        <v>60</v>
      </c>
    </row>
    <row r="1063" spans="1:7" x14ac:dyDescent="0.2">
      <c r="A1063">
        <f t="shared" si="18"/>
        <v>89</v>
      </c>
      <c r="B1063" t="s">
        <v>5</v>
      </c>
      <c r="C1063">
        <f>IF(data!$B1063&lt;&gt;data!$B1062,1,C1062+1)</f>
        <v>6</v>
      </c>
      <c r="D1063">
        <v>15</v>
      </c>
      <c r="E1063" t="s">
        <v>7</v>
      </c>
      <c r="F1063" t="s">
        <v>14</v>
      </c>
      <c r="G1063">
        <v>60</v>
      </c>
    </row>
    <row r="1064" spans="1:7" x14ac:dyDescent="0.2">
      <c r="A1064">
        <f t="shared" si="18"/>
        <v>89</v>
      </c>
      <c r="B1064" t="s">
        <v>5</v>
      </c>
      <c r="C1064">
        <f>IF(data!$B1064&lt;&gt;data!$B1063,1,C1063+1)</f>
        <v>7</v>
      </c>
      <c r="D1064">
        <v>14</v>
      </c>
      <c r="E1064" t="s">
        <v>7</v>
      </c>
      <c r="F1064" t="s">
        <v>14</v>
      </c>
      <c r="G1064">
        <v>60</v>
      </c>
    </row>
    <row r="1065" spans="1:7" x14ac:dyDescent="0.2">
      <c r="A1065">
        <f t="shared" si="18"/>
        <v>89</v>
      </c>
      <c r="B1065" t="s">
        <v>5</v>
      </c>
      <c r="C1065">
        <f>IF(data!$B1065&lt;&gt;data!$B1064,1,C1064+1)</f>
        <v>8</v>
      </c>
      <c r="D1065">
        <v>13</v>
      </c>
      <c r="E1065" t="s">
        <v>7</v>
      </c>
      <c r="F1065" t="s">
        <v>14</v>
      </c>
      <c r="G1065">
        <v>60</v>
      </c>
    </row>
    <row r="1066" spans="1:7" x14ac:dyDescent="0.2">
      <c r="A1066">
        <f t="shared" si="18"/>
        <v>89</v>
      </c>
      <c r="B1066" t="s">
        <v>5</v>
      </c>
      <c r="C1066">
        <f>IF(data!$B1066&lt;&gt;data!$B1065,1,C1065+1)</f>
        <v>9</v>
      </c>
      <c r="D1066">
        <v>12</v>
      </c>
      <c r="E1066" t="s">
        <v>7</v>
      </c>
      <c r="F1066" t="s">
        <v>14</v>
      </c>
      <c r="G1066">
        <v>60</v>
      </c>
    </row>
    <row r="1067" spans="1:7" x14ac:dyDescent="0.2">
      <c r="A1067">
        <f t="shared" si="18"/>
        <v>89</v>
      </c>
      <c r="B1067" t="s">
        <v>5</v>
      </c>
      <c r="C1067">
        <f>IF(data!$B1067&lt;&gt;data!$B1066,1,C1066+1)</f>
        <v>10</v>
      </c>
      <c r="D1067">
        <v>11</v>
      </c>
      <c r="E1067" t="s">
        <v>7</v>
      </c>
      <c r="F1067" t="s">
        <v>14</v>
      </c>
      <c r="G1067">
        <v>60</v>
      </c>
    </row>
    <row r="1068" spans="1:7" x14ac:dyDescent="0.2">
      <c r="A1068">
        <f t="shared" si="18"/>
        <v>89</v>
      </c>
      <c r="B1068" t="s">
        <v>5</v>
      </c>
      <c r="C1068">
        <f>IF(data!$B1068&lt;&gt;data!$B1067,1,C1067+1)</f>
        <v>11</v>
      </c>
      <c r="D1068">
        <v>10</v>
      </c>
      <c r="E1068" t="s">
        <v>7</v>
      </c>
      <c r="F1068" t="s">
        <v>14</v>
      </c>
      <c r="G1068">
        <v>60</v>
      </c>
    </row>
    <row r="1069" spans="1:7" x14ac:dyDescent="0.2">
      <c r="A1069">
        <f t="shared" si="18"/>
        <v>89</v>
      </c>
      <c r="B1069" t="s">
        <v>5</v>
      </c>
      <c r="C1069">
        <f>IF(data!$B1069&lt;&gt;data!$B1068,1,C1068+1)</f>
        <v>12</v>
      </c>
      <c r="D1069">
        <v>9</v>
      </c>
      <c r="E1069" t="s">
        <v>7</v>
      </c>
      <c r="F1069" t="s">
        <v>14</v>
      </c>
      <c r="G1069">
        <v>60</v>
      </c>
    </row>
    <row r="1070" spans="1:7" x14ac:dyDescent="0.2">
      <c r="A1070">
        <f t="shared" si="18"/>
        <v>90</v>
      </c>
      <c r="B1070" t="s">
        <v>6</v>
      </c>
      <c r="C1070">
        <f>IF(data!$B1070&lt;&gt;data!$B1069,1,C1069+1)</f>
        <v>1</v>
      </c>
      <c r="D1070">
        <v>22</v>
      </c>
      <c r="E1070" t="s">
        <v>7</v>
      </c>
      <c r="F1070" t="s">
        <v>14</v>
      </c>
      <c r="G1070">
        <v>60</v>
      </c>
    </row>
    <row r="1071" spans="1:7" x14ac:dyDescent="0.2">
      <c r="A1071">
        <f t="shared" si="18"/>
        <v>90</v>
      </c>
      <c r="B1071" t="s">
        <v>6</v>
      </c>
      <c r="C1071">
        <f>IF(data!$B1071&lt;&gt;data!$B1070,1,C1070+1)</f>
        <v>2</v>
      </c>
      <c r="D1071">
        <v>20.5</v>
      </c>
      <c r="E1071" t="s">
        <v>7</v>
      </c>
      <c r="F1071" t="s">
        <v>14</v>
      </c>
      <c r="G1071">
        <v>60</v>
      </c>
    </row>
    <row r="1072" spans="1:7" x14ac:dyDescent="0.2">
      <c r="A1072">
        <f t="shared" si="18"/>
        <v>90</v>
      </c>
      <c r="B1072" t="s">
        <v>6</v>
      </c>
      <c r="C1072">
        <f>IF(data!$B1072&lt;&gt;data!$B1071,1,C1071+1)</f>
        <v>3</v>
      </c>
      <c r="D1072">
        <v>19</v>
      </c>
      <c r="E1072" t="s">
        <v>7</v>
      </c>
      <c r="F1072" t="s">
        <v>14</v>
      </c>
      <c r="G1072">
        <v>60</v>
      </c>
    </row>
    <row r="1073" spans="1:7" x14ac:dyDescent="0.2">
      <c r="A1073">
        <f t="shared" si="18"/>
        <v>90</v>
      </c>
      <c r="B1073" t="s">
        <v>6</v>
      </c>
      <c r="C1073">
        <f>IF(data!$B1073&lt;&gt;data!$B1072,1,C1072+1)</f>
        <v>4</v>
      </c>
      <c r="D1073">
        <v>17.5</v>
      </c>
      <c r="E1073" t="s">
        <v>7</v>
      </c>
      <c r="F1073" t="s">
        <v>14</v>
      </c>
      <c r="G1073">
        <v>60</v>
      </c>
    </row>
    <row r="1074" spans="1:7" x14ac:dyDescent="0.2">
      <c r="A1074">
        <f t="shared" si="18"/>
        <v>90</v>
      </c>
      <c r="B1074" t="s">
        <v>6</v>
      </c>
      <c r="C1074">
        <f>IF(data!$B1074&lt;&gt;data!$B1073,1,C1073+1)</f>
        <v>5</v>
      </c>
      <c r="D1074">
        <v>16</v>
      </c>
      <c r="E1074" t="s">
        <v>7</v>
      </c>
      <c r="F1074" t="s">
        <v>14</v>
      </c>
      <c r="G1074">
        <v>60</v>
      </c>
    </row>
    <row r="1075" spans="1:7" x14ac:dyDescent="0.2">
      <c r="A1075">
        <f t="shared" si="18"/>
        <v>90</v>
      </c>
      <c r="B1075" t="s">
        <v>6</v>
      </c>
      <c r="C1075">
        <f>IF(data!$B1075&lt;&gt;data!$B1074,1,C1074+1)</f>
        <v>6</v>
      </c>
      <c r="D1075">
        <v>14.5</v>
      </c>
      <c r="E1075" t="s">
        <v>7</v>
      </c>
      <c r="F1075" t="s">
        <v>14</v>
      </c>
      <c r="G1075">
        <v>60</v>
      </c>
    </row>
    <row r="1076" spans="1:7" x14ac:dyDescent="0.2">
      <c r="A1076">
        <f t="shared" si="18"/>
        <v>90</v>
      </c>
      <c r="B1076" t="s">
        <v>6</v>
      </c>
      <c r="C1076">
        <f>IF(data!$B1076&lt;&gt;data!$B1075,1,C1075+1)</f>
        <v>7</v>
      </c>
      <c r="D1076">
        <v>13</v>
      </c>
      <c r="E1076" t="s">
        <v>7</v>
      </c>
      <c r="F1076" t="s">
        <v>14</v>
      </c>
      <c r="G1076">
        <v>60</v>
      </c>
    </row>
    <row r="1077" spans="1:7" x14ac:dyDescent="0.2">
      <c r="A1077">
        <f t="shared" si="18"/>
        <v>90</v>
      </c>
      <c r="B1077" t="s">
        <v>6</v>
      </c>
      <c r="C1077">
        <f>IF(data!$B1077&lt;&gt;data!$B1076,1,C1076+1)</f>
        <v>8</v>
      </c>
      <c r="D1077">
        <v>11.5</v>
      </c>
      <c r="E1077" t="s">
        <v>7</v>
      </c>
      <c r="F1077" t="s">
        <v>14</v>
      </c>
      <c r="G1077">
        <v>60</v>
      </c>
    </row>
    <row r="1078" spans="1:7" x14ac:dyDescent="0.2">
      <c r="A1078">
        <f t="shared" si="18"/>
        <v>90</v>
      </c>
      <c r="B1078" t="s">
        <v>6</v>
      </c>
      <c r="C1078">
        <f>IF(data!$B1078&lt;&gt;data!$B1077,1,C1077+1)</f>
        <v>9</v>
      </c>
      <c r="D1078">
        <v>10</v>
      </c>
      <c r="E1078" t="s">
        <v>7</v>
      </c>
      <c r="F1078" t="s">
        <v>14</v>
      </c>
      <c r="G1078">
        <v>60</v>
      </c>
    </row>
    <row r="1079" spans="1:7" x14ac:dyDescent="0.2">
      <c r="A1079">
        <f t="shared" si="18"/>
        <v>90</v>
      </c>
      <c r="B1079" t="s">
        <v>6</v>
      </c>
      <c r="C1079">
        <f>IF(data!$B1079&lt;&gt;data!$B1078,1,C1078+1)</f>
        <v>10</v>
      </c>
      <c r="D1079">
        <v>8.5</v>
      </c>
      <c r="E1079" t="s">
        <v>7</v>
      </c>
      <c r="F1079" t="s">
        <v>14</v>
      </c>
      <c r="G1079">
        <v>60</v>
      </c>
    </row>
    <row r="1080" spans="1:7" x14ac:dyDescent="0.2">
      <c r="A1080">
        <f t="shared" si="18"/>
        <v>90</v>
      </c>
      <c r="B1080" t="s">
        <v>6</v>
      </c>
      <c r="C1080">
        <f>IF(data!$B1080&lt;&gt;data!$B1079,1,C1079+1)</f>
        <v>11</v>
      </c>
      <c r="D1080">
        <v>7</v>
      </c>
      <c r="E1080" t="s">
        <v>7</v>
      </c>
      <c r="F1080" t="s">
        <v>14</v>
      </c>
      <c r="G1080">
        <v>60</v>
      </c>
    </row>
    <row r="1081" spans="1:7" x14ac:dyDescent="0.2">
      <c r="A1081">
        <f t="shared" si="18"/>
        <v>90</v>
      </c>
      <c r="B1081" t="s">
        <v>6</v>
      </c>
      <c r="C1081">
        <f>IF(data!$B1081&lt;&gt;data!$B1080,1,C1080+1)</f>
        <v>12</v>
      </c>
      <c r="D1081">
        <v>5.5</v>
      </c>
      <c r="E1081" t="s">
        <v>7</v>
      </c>
      <c r="F1081" t="s">
        <v>14</v>
      </c>
      <c r="G1081">
        <v>60</v>
      </c>
    </row>
    <row r="1082" spans="1:7" x14ac:dyDescent="0.2">
      <c r="A1082">
        <f t="shared" si="18"/>
        <v>91</v>
      </c>
      <c r="B1082" t="s">
        <v>5</v>
      </c>
      <c r="C1082">
        <f>IF(data!$B1082&lt;&gt;data!$B1081,1,C1081+1)</f>
        <v>1</v>
      </c>
      <c r="D1082">
        <v>21</v>
      </c>
      <c r="E1082" t="s">
        <v>13</v>
      </c>
      <c r="F1082" t="s">
        <v>14</v>
      </c>
      <c r="G1082">
        <v>60</v>
      </c>
    </row>
    <row r="1083" spans="1:7" x14ac:dyDescent="0.2">
      <c r="A1083">
        <f t="shared" si="18"/>
        <v>91</v>
      </c>
      <c r="B1083" t="s">
        <v>5</v>
      </c>
      <c r="C1083">
        <f>IF(data!$B1083&lt;&gt;data!$B1082,1,C1082+1)</f>
        <v>2</v>
      </c>
      <c r="D1083">
        <v>20.5</v>
      </c>
      <c r="E1083" t="s">
        <v>13</v>
      </c>
      <c r="F1083" t="s">
        <v>14</v>
      </c>
      <c r="G1083">
        <v>60</v>
      </c>
    </row>
    <row r="1084" spans="1:7" x14ac:dyDescent="0.2">
      <c r="A1084">
        <f t="shared" si="18"/>
        <v>91</v>
      </c>
      <c r="B1084" t="s">
        <v>5</v>
      </c>
      <c r="C1084">
        <f>IF(data!$B1084&lt;&gt;data!$B1083,1,C1083+1)</f>
        <v>3</v>
      </c>
      <c r="D1084">
        <v>20</v>
      </c>
      <c r="E1084" t="s">
        <v>13</v>
      </c>
      <c r="F1084" t="s">
        <v>14</v>
      </c>
      <c r="G1084">
        <v>60</v>
      </c>
    </row>
    <row r="1085" spans="1:7" x14ac:dyDescent="0.2">
      <c r="A1085">
        <f t="shared" si="18"/>
        <v>91</v>
      </c>
      <c r="B1085" t="s">
        <v>5</v>
      </c>
      <c r="C1085">
        <f>IF(data!$B1085&lt;&gt;data!$B1084,1,C1084+1)</f>
        <v>4</v>
      </c>
      <c r="D1085">
        <v>19.5</v>
      </c>
      <c r="E1085" t="s">
        <v>13</v>
      </c>
      <c r="F1085" t="s">
        <v>14</v>
      </c>
      <c r="G1085">
        <v>60</v>
      </c>
    </row>
    <row r="1086" spans="1:7" x14ac:dyDescent="0.2">
      <c r="A1086">
        <f t="shared" si="18"/>
        <v>91</v>
      </c>
      <c r="B1086" t="s">
        <v>5</v>
      </c>
      <c r="C1086">
        <f>IF(data!$B1086&lt;&gt;data!$B1085,1,C1085+1)</f>
        <v>5</v>
      </c>
      <c r="D1086">
        <v>19</v>
      </c>
      <c r="E1086" t="s">
        <v>13</v>
      </c>
      <c r="F1086" t="s">
        <v>14</v>
      </c>
      <c r="G1086">
        <v>60</v>
      </c>
    </row>
    <row r="1087" spans="1:7" x14ac:dyDescent="0.2">
      <c r="A1087">
        <f t="shared" si="18"/>
        <v>91</v>
      </c>
      <c r="B1087" t="s">
        <v>5</v>
      </c>
      <c r="C1087">
        <f>IF(data!$B1087&lt;&gt;data!$B1086,1,C1086+1)</f>
        <v>6</v>
      </c>
      <c r="D1087">
        <v>18.5</v>
      </c>
      <c r="E1087" t="s">
        <v>13</v>
      </c>
      <c r="F1087" t="s">
        <v>14</v>
      </c>
      <c r="G1087">
        <v>60</v>
      </c>
    </row>
    <row r="1088" spans="1:7" x14ac:dyDescent="0.2">
      <c r="A1088">
        <f t="shared" si="18"/>
        <v>91</v>
      </c>
      <c r="B1088" t="s">
        <v>5</v>
      </c>
      <c r="C1088">
        <f>IF(data!$B1088&lt;&gt;data!$B1087,1,C1087+1)</f>
        <v>7</v>
      </c>
      <c r="D1088">
        <v>18</v>
      </c>
      <c r="E1088" t="s">
        <v>13</v>
      </c>
      <c r="F1088" t="s">
        <v>14</v>
      </c>
      <c r="G1088">
        <v>60</v>
      </c>
    </row>
    <row r="1089" spans="1:7" x14ac:dyDescent="0.2">
      <c r="A1089">
        <f t="shared" si="18"/>
        <v>91</v>
      </c>
      <c r="B1089" t="s">
        <v>5</v>
      </c>
      <c r="C1089">
        <f>IF(data!$B1089&lt;&gt;data!$B1088,1,C1088+1)</f>
        <v>8</v>
      </c>
      <c r="D1089">
        <v>17.5</v>
      </c>
      <c r="E1089" t="s">
        <v>13</v>
      </c>
      <c r="F1089" t="s">
        <v>14</v>
      </c>
      <c r="G1089">
        <v>60</v>
      </c>
    </row>
    <row r="1090" spans="1:7" x14ac:dyDescent="0.2">
      <c r="A1090">
        <f t="shared" si="18"/>
        <v>91</v>
      </c>
      <c r="B1090" t="s">
        <v>5</v>
      </c>
      <c r="C1090">
        <f>IF(data!$B1090&lt;&gt;data!$B1089,1,C1089+1)</f>
        <v>9</v>
      </c>
      <c r="D1090">
        <v>17</v>
      </c>
      <c r="E1090" t="s">
        <v>13</v>
      </c>
      <c r="F1090" t="s">
        <v>14</v>
      </c>
      <c r="G1090">
        <v>60</v>
      </c>
    </row>
    <row r="1091" spans="1:7" x14ac:dyDescent="0.2">
      <c r="A1091">
        <f t="shared" si="18"/>
        <v>91</v>
      </c>
      <c r="B1091" t="s">
        <v>5</v>
      </c>
      <c r="C1091">
        <f>IF(data!$B1091&lt;&gt;data!$B1090,1,C1090+1)</f>
        <v>10</v>
      </c>
      <c r="D1091">
        <v>16.5</v>
      </c>
      <c r="E1091" t="s">
        <v>13</v>
      </c>
      <c r="F1091" t="s">
        <v>14</v>
      </c>
      <c r="G1091">
        <v>60</v>
      </c>
    </row>
    <row r="1092" spans="1:7" x14ac:dyDescent="0.2">
      <c r="A1092">
        <f t="shared" si="18"/>
        <v>91</v>
      </c>
      <c r="B1092" t="s">
        <v>5</v>
      </c>
      <c r="C1092">
        <f>IF(data!$B1092&lt;&gt;data!$B1091,1,C1091+1)</f>
        <v>11</v>
      </c>
      <c r="D1092">
        <v>16</v>
      </c>
      <c r="E1092" t="s">
        <v>13</v>
      </c>
      <c r="F1092" t="s">
        <v>14</v>
      </c>
      <c r="G1092">
        <v>60</v>
      </c>
    </row>
    <row r="1093" spans="1:7" x14ac:dyDescent="0.2">
      <c r="A1093">
        <f t="shared" si="18"/>
        <v>91</v>
      </c>
      <c r="B1093" t="s">
        <v>5</v>
      </c>
      <c r="C1093">
        <f>IF(data!$B1093&lt;&gt;data!$B1092,1,C1092+1)</f>
        <v>12</v>
      </c>
      <c r="D1093">
        <v>15.5</v>
      </c>
      <c r="E1093" t="s">
        <v>13</v>
      </c>
      <c r="F1093" t="s">
        <v>14</v>
      </c>
      <c r="G1093">
        <v>60</v>
      </c>
    </row>
    <row r="1094" spans="1:7" x14ac:dyDescent="0.2">
      <c r="A1094">
        <f t="shared" si="18"/>
        <v>92</v>
      </c>
      <c r="B1094" t="s">
        <v>6</v>
      </c>
      <c r="C1094">
        <f>IF(data!$B1094&lt;&gt;data!$B1093,1,C1093+1)</f>
        <v>1</v>
      </c>
      <c r="D1094">
        <v>23</v>
      </c>
      <c r="E1094" t="s">
        <v>13</v>
      </c>
      <c r="F1094" t="s">
        <v>14</v>
      </c>
      <c r="G1094">
        <v>60</v>
      </c>
    </row>
    <row r="1095" spans="1:7" x14ac:dyDescent="0.2">
      <c r="A1095">
        <f t="shared" si="18"/>
        <v>92</v>
      </c>
      <c r="B1095" t="s">
        <v>6</v>
      </c>
      <c r="C1095">
        <f>IF(data!$B1095&lt;&gt;data!$B1094,1,C1094+1)</f>
        <v>2</v>
      </c>
      <c r="D1095">
        <v>21.8</v>
      </c>
      <c r="E1095" t="s">
        <v>13</v>
      </c>
      <c r="F1095" t="s">
        <v>14</v>
      </c>
      <c r="G1095">
        <v>60</v>
      </c>
    </row>
    <row r="1096" spans="1:7" x14ac:dyDescent="0.2">
      <c r="A1096">
        <f t="shared" si="18"/>
        <v>92</v>
      </c>
      <c r="B1096" t="s">
        <v>6</v>
      </c>
      <c r="C1096">
        <f>IF(data!$B1096&lt;&gt;data!$B1095,1,C1095+1)</f>
        <v>3</v>
      </c>
      <c r="D1096">
        <v>20.6</v>
      </c>
      <c r="E1096" t="s">
        <v>13</v>
      </c>
      <c r="F1096" t="s">
        <v>14</v>
      </c>
      <c r="G1096">
        <v>60</v>
      </c>
    </row>
    <row r="1097" spans="1:7" x14ac:dyDescent="0.2">
      <c r="A1097">
        <f t="shared" si="18"/>
        <v>92</v>
      </c>
      <c r="B1097" t="s">
        <v>6</v>
      </c>
      <c r="C1097">
        <f>IF(data!$B1097&lt;&gt;data!$B1096,1,C1096+1)</f>
        <v>4</v>
      </c>
      <c r="D1097">
        <v>19.400000000000002</v>
      </c>
      <c r="E1097" t="s">
        <v>13</v>
      </c>
      <c r="F1097" t="s">
        <v>14</v>
      </c>
      <c r="G1097">
        <v>60</v>
      </c>
    </row>
    <row r="1098" spans="1:7" x14ac:dyDescent="0.2">
      <c r="A1098">
        <f t="shared" si="18"/>
        <v>92</v>
      </c>
      <c r="B1098" t="s">
        <v>6</v>
      </c>
      <c r="C1098">
        <f>IF(data!$B1098&lt;&gt;data!$B1097,1,C1097+1)</f>
        <v>5</v>
      </c>
      <c r="D1098">
        <v>18.200000000000003</v>
      </c>
      <c r="E1098" t="s">
        <v>13</v>
      </c>
      <c r="F1098" t="s">
        <v>14</v>
      </c>
      <c r="G1098">
        <v>60</v>
      </c>
    </row>
    <row r="1099" spans="1:7" x14ac:dyDescent="0.2">
      <c r="A1099">
        <f t="shared" si="18"/>
        <v>92</v>
      </c>
      <c r="B1099" t="s">
        <v>6</v>
      </c>
      <c r="C1099">
        <f>IF(data!$B1099&lt;&gt;data!$B1098,1,C1098+1)</f>
        <v>6</v>
      </c>
      <c r="D1099">
        <v>17.000000000000004</v>
      </c>
      <c r="E1099" t="s">
        <v>13</v>
      </c>
      <c r="F1099" t="s">
        <v>14</v>
      </c>
      <c r="G1099">
        <v>60</v>
      </c>
    </row>
    <row r="1100" spans="1:7" x14ac:dyDescent="0.2">
      <c r="A1100">
        <f t="shared" si="18"/>
        <v>92</v>
      </c>
      <c r="B1100" t="s">
        <v>6</v>
      </c>
      <c r="C1100">
        <f>IF(data!$B1100&lt;&gt;data!$B1099,1,C1099+1)</f>
        <v>7</v>
      </c>
      <c r="D1100">
        <v>15.800000000000004</v>
      </c>
      <c r="E1100" t="s">
        <v>13</v>
      </c>
      <c r="F1100" t="s">
        <v>14</v>
      </c>
      <c r="G1100">
        <v>60</v>
      </c>
    </row>
    <row r="1101" spans="1:7" x14ac:dyDescent="0.2">
      <c r="A1101">
        <f t="shared" si="18"/>
        <v>92</v>
      </c>
      <c r="B1101" t="s">
        <v>6</v>
      </c>
      <c r="C1101">
        <f>IF(data!$B1101&lt;&gt;data!$B1100,1,C1100+1)</f>
        <v>8</v>
      </c>
      <c r="D1101">
        <v>14.600000000000005</v>
      </c>
      <c r="E1101" t="s">
        <v>13</v>
      </c>
      <c r="F1101" t="s">
        <v>14</v>
      </c>
      <c r="G1101">
        <v>60</v>
      </c>
    </row>
    <row r="1102" spans="1:7" x14ac:dyDescent="0.2">
      <c r="A1102">
        <f t="shared" si="18"/>
        <v>92</v>
      </c>
      <c r="B1102" t="s">
        <v>6</v>
      </c>
      <c r="C1102">
        <f>IF(data!$B1102&lt;&gt;data!$B1101,1,C1101+1)</f>
        <v>9</v>
      </c>
      <c r="D1102">
        <v>13.400000000000006</v>
      </c>
      <c r="E1102" t="s">
        <v>13</v>
      </c>
      <c r="F1102" t="s">
        <v>14</v>
      </c>
      <c r="G1102">
        <v>60</v>
      </c>
    </row>
    <row r="1103" spans="1:7" x14ac:dyDescent="0.2">
      <c r="A1103">
        <f t="shared" si="18"/>
        <v>92</v>
      </c>
      <c r="B1103" t="s">
        <v>6</v>
      </c>
      <c r="C1103">
        <f>IF(data!$B1103&lt;&gt;data!$B1102,1,C1102+1)</f>
        <v>10</v>
      </c>
      <c r="D1103">
        <v>12.200000000000006</v>
      </c>
      <c r="E1103" t="s">
        <v>13</v>
      </c>
      <c r="F1103" t="s">
        <v>14</v>
      </c>
      <c r="G1103">
        <v>60</v>
      </c>
    </row>
    <row r="1104" spans="1:7" x14ac:dyDescent="0.2">
      <c r="A1104">
        <f t="shared" si="18"/>
        <v>92</v>
      </c>
      <c r="B1104" t="s">
        <v>6</v>
      </c>
      <c r="C1104">
        <f>IF(data!$B1104&lt;&gt;data!$B1103,1,C1103+1)</f>
        <v>11</v>
      </c>
      <c r="D1104">
        <v>11.000000000000007</v>
      </c>
      <c r="E1104" t="s">
        <v>13</v>
      </c>
      <c r="F1104" t="s">
        <v>14</v>
      </c>
      <c r="G1104">
        <v>60</v>
      </c>
    </row>
    <row r="1105" spans="1:7" x14ac:dyDescent="0.2">
      <c r="A1105">
        <f t="shared" si="18"/>
        <v>92</v>
      </c>
      <c r="B1105" t="s">
        <v>6</v>
      </c>
      <c r="C1105">
        <f>IF(data!$B1105&lt;&gt;data!$B1104,1,C1104+1)</f>
        <v>12</v>
      </c>
      <c r="D1105">
        <v>9.8000000000000078</v>
      </c>
      <c r="E1105" t="s">
        <v>13</v>
      </c>
      <c r="F1105" t="s">
        <v>14</v>
      </c>
      <c r="G1105">
        <v>60</v>
      </c>
    </row>
    <row r="1106" spans="1:7" x14ac:dyDescent="0.2">
      <c r="A1106">
        <f t="shared" si="18"/>
        <v>93</v>
      </c>
      <c r="B1106" t="s">
        <v>5</v>
      </c>
      <c r="C1106">
        <f>IF(data!$B1106&lt;&gt;data!$B1105,1,C1105+1)</f>
        <v>1</v>
      </c>
      <c r="D1106">
        <v>20</v>
      </c>
      <c r="E1106" t="s">
        <v>7</v>
      </c>
      <c r="F1106" t="s">
        <v>12</v>
      </c>
      <c r="G1106">
        <v>60</v>
      </c>
    </row>
    <row r="1107" spans="1:7" x14ac:dyDescent="0.2">
      <c r="A1107">
        <f t="shared" si="18"/>
        <v>93</v>
      </c>
      <c r="B1107" t="s">
        <v>5</v>
      </c>
      <c r="C1107">
        <f>IF(data!$B1107&lt;&gt;data!$B1106,1,C1106+1)</f>
        <v>2</v>
      </c>
      <c r="D1107">
        <v>18.698970004336019</v>
      </c>
      <c r="E1107" t="s">
        <v>7</v>
      </c>
      <c r="F1107" t="s">
        <v>12</v>
      </c>
      <c r="G1107">
        <v>60</v>
      </c>
    </row>
    <row r="1108" spans="1:7" x14ac:dyDescent="0.2">
      <c r="A1108">
        <f t="shared" si="18"/>
        <v>93</v>
      </c>
      <c r="B1108" t="s">
        <v>5</v>
      </c>
      <c r="C1108">
        <f>IF(data!$B1108&lt;&gt;data!$B1107,1,C1107+1)</f>
        <v>3</v>
      </c>
      <c r="D1108">
        <v>17.522878745280337</v>
      </c>
      <c r="E1108" t="s">
        <v>7</v>
      </c>
      <c r="F1108" t="s">
        <v>12</v>
      </c>
      <c r="G1108">
        <v>60</v>
      </c>
    </row>
    <row r="1109" spans="1:7" x14ac:dyDescent="0.2">
      <c r="A1109">
        <f t="shared" si="18"/>
        <v>93</v>
      </c>
      <c r="B1109" t="s">
        <v>5</v>
      </c>
      <c r="C1109">
        <f>IF(data!$B1109&lt;&gt;data!$B1108,1,C1108+1)</f>
        <v>4</v>
      </c>
      <c r="D1109">
        <v>16.397940008672037</v>
      </c>
      <c r="E1109" t="s">
        <v>7</v>
      </c>
      <c r="F1109" t="s">
        <v>12</v>
      </c>
      <c r="G1109">
        <v>60</v>
      </c>
    </row>
    <row r="1110" spans="1:7" x14ac:dyDescent="0.2">
      <c r="A1110">
        <f t="shared" si="18"/>
        <v>93</v>
      </c>
      <c r="B1110" t="s">
        <v>5</v>
      </c>
      <c r="C1110">
        <f>IF(data!$B1110&lt;&gt;data!$B1109,1,C1109+1)</f>
        <v>5</v>
      </c>
      <c r="D1110">
        <v>15.301029995663981</v>
      </c>
      <c r="E1110" t="s">
        <v>7</v>
      </c>
      <c r="F1110" t="s">
        <v>12</v>
      </c>
      <c r="G1110">
        <v>60</v>
      </c>
    </row>
    <row r="1111" spans="1:7" x14ac:dyDescent="0.2">
      <c r="A1111">
        <f t="shared" si="18"/>
        <v>93</v>
      </c>
      <c r="B1111" t="s">
        <v>5</v>
      </c>
      <c r="C1111">
        <f>IF(data!$B1111&lt;&gt;data!$B1110,1,C1110+1)</f>
        <v>6</v>
      </c>
      <c r="D1111">
        <v>14.221848749616356</v>
      </c>
      <c r="E1111" t="s">
        <v>7</v>
      </c>
      <c r="F1111" t="s">
        <v>12</v>
      </c>
      <c r="G1111">
        <v>60</v>
      </c>
    </row>
    <row r="1112" spans="1:7" x14ac:dyDescent="0.2">
      <c r="A1112">
        <f t="shared" si="18"/>
        <v>93</v>
      </c>
      <c r="B1112" t="s">
        <v>5</v>
      </c>
      <c r="C1112">
        <f>IF(data!$B1112&lt;&gt;data!$B1111,1,C1111+1)</f>
        <v>7</v>
      </c>
      <c r="D1112">
        <v>13.154901959985743</v>
      </c>
      <c r="E1112" t="s">
        <v>7</v>
      </c>
      <c r="F1112" t="s">
        <v>12</v>
      </c>
      <c r="G1112">
        <v>60</v>
      </c>
    </row>
    <row r="1113" spans="1:7" x14ac:dyDescent="0.2">
      <c r="A1113">
        <f t="shared" si="18"/>
        <v>93</v>
      </c>
      <c r="B1113" t="s">
        <v>5</v>
      </c>
      <c r="C1113">
        <f>IF(data!$B1113&lt;&gt;data!$B1112,1,C1112+1)</f>
        <v>8</v>
      </c>
      <c r="D1113">
        <v>12.096910013008056</v>
      </c>
      <c r="E1113" t="s">
        <v>7</v>
      </c>
      <c r="F1113" t="s">
        <v>12</v>
      </c>
      <c r="G1113">
        <v>60</v>
      </c>
    </row>
    <row r="1114" spans="1:7" x14ac:dyDescent="0.2">
      <c r="A1114">
        <f t="shared" si="18"/>
        <v>93</v>
      </c>
      <c r="B1114" t="s">
        <v>5</v>
      </c>
      <c r="C1114">
        <f>IF(data!$B1114&lt;&gt;data!$B1113,1,C1113+1)</f>
        <v>9</v>
      </c>
      <c r="D1114">
        <v>11.045757490560675</v>
      </c>
      <c r="E1114" t="s">
        <v>7</v>
      </c>
      <c r="F1114" t="s">
        <v>12</v>
      </c>
      <c r="G1114">
        <v>60</v>
      </c>
    </row>
    <row r="1115" spans="1:7" x14ac:dyDescent="0.2">
      <c r="A1115">
        <f t="shared" si="18"/>
        <v>93</v>
      </c>
      <c r="B1115" t="s">
        <v>5</v>
      </c>
      <c r="C1115">
        <f>IF(data!$B1115&lt;&gt;data!$B1114,1,C1114+1)</f>
        <v>10</v>
      </c>
      <c r="D1115">
        <v>10</v>
      </c>
      <c r="E1115" t="s">
        <v>7</v>
      </c>
      <c r="F1115" t="s">
        <v>12</v>
      </c>
      <c r="G1115">
        <v>60</v>
      </c>
    </row>
    <row r="1116" spans="1:7" x14ac:dyDescent="0.2">
      <c r="A1116">
        <f t="shared" si="18"/>
        <v>93</v>
      </c>
      <c r="B1116" t="s">
        <v>5</v>
      </c>
      <c r="C1116">
        <f>IF(data!$B1116&lt;&gt;data!$B1115,1,C1115+1)</f>
        <v>11</v>
      </c>
      <c r="D1116">
        <v>8.9586073148417746</v>
      </c>
      <c r="E1116" t="s">
        <v>7</v>
      </c>
      <c r="F1116" t="s">
        <v>12</v>
      </c>
      <c r="G1116">
        <v>60</v>
      </c>
    </row>
    <row r="1117" spans="1:7" x14ac:dyDescent="0.2">
      <c r="A1117">
        <f t="shared" si="18"/>
        <v>93</v>
      </c>
      <c r="B1117" t="s">
        <v>5</v>
      </c>
      <c r="C1117">
        <f>IF(data!$B1117&lt;&gt;data!$B1116,1,C1116+1)</f>
        <v>12</v>
      </c>
      <c r="D1117">
        <v>7.9208187539523749</v>
      </c>
      <c r="E1117" t="s">
        <v>7</v>
      </c>
      <c r="F1117" t="s">
        <v>12</v>
      </c>
      <c r="G1117">
        <v>60</v>
      </c>
    </row>
    <row r="1118" spans="1:7" x14ac:dyDescent="0.2">
      <c r="A1118">
        <f t="shared" si="18"/>
        <v>94</v>
      </c>
      <c r="B1118" t="s">
        <v>6</v>
      </c>
      <c r="C1118">
        <f>IF(data!$B1118&lt;&gt;data!$B1117,1,C1117+1)</f>
        <v>1</v>
      </c>
      <c r="D1118">
        <v>22</v>
      </c>
      <c r="E1118" t="s">
        <v>7</v>
      </c>
      <c r="F1118" t="s">
        <v>12</v>
      </c>
      <c r="G1118">
        <v>60</v>
      </c>
    </row>
    <row r="1119" spans="1:7" x14ac:dyDescent="0.2">
      <c r="A1119">
        <f t="shared" si="18"/>
        <v>94</v>
      </c>
      <c r="B1119" t="s">
        <v>6</v>
      </c>
      <c r="C1119">
        <f>IF(data!$B1119&lt;&gt;data!$B1118,1,C1118+1)</f>
        <v>2</v>
      </c>
      <c r="D1119">
        <v>20.198970004336019</v>
      </c>
      <c r="E1119" t="s">
        <v>7</v>
      </c>
      <c r="F1119" t="s">
        <v>12</v>
      </c>
      <c r="G1119">
        <v>60</v>
      </c>
    </row>
    <row r="1120" spans="1:7" x14ac:dyDescent="0.2">
      <c r="A1120">
        <f t="shared" si="18"/>
        <v>94</v>
      </c>
      <c r="B1120" t="s">
        <v>6</v>
      </c>
      <c r="C1120">
        <f>IF(data!$B1120&lt;&gt;data!$B1119,1,C1119+1)</f>
        <v>3</v>
      </c>
      <c r="D1120">
        <v>18.522878745280337</v>
      </c>
      <c r="E1120" t="s">
        <v>7</v>
      </c>
      <c r="F1120" t="s">
        <v>12</v>
      </c>
      <c r="G1120">
        <v>60</v>
      </c>
    </row>
    <row r="1121" spans="1:7" x14ac:dyDescent="0.2">
      <c r="A1121">
        <f t="shared" si="18"/>
        <v>94</v>
      </c>
      <c r="B1121" t="s">
        <v>6</v>
      </c>
      <c r="C1121">
        <f>IF(data!$B1121&lt;&gt;data!$B1120,1,C1120+1)</f>
        <v>4</v>
      </c>
      <c r="D1121">
        <v>16.897940008672037</v>
      </c>
      <c r="E1121" t="s">
        <v>7</v>
      </c>
      <c r="F1121" t="s">
        <v>12</v>
      </c>
      <c r="G1121">
        <v>60</v>
      </c>
    </row>
    <row r="1122" spans="1:7" x14ac:dyDescent="0.2">
      <c r="A1122">
        <f t="shared" si="18"/>
        <v>94</v>
      </c>
      <c r="B1122" t="s">
        <v>6</v>
      </c>
      <c r="C1122">
        <f>IF(data!$B1122&lt;&gt;data!$B1121,1,C1121+1)</f>
        <v>5</v>
      </c>
      <c r="D1122">
        <v>15.301029995663981</v>
      </c>
      <c r="E1122" t="s">
        <v>7</v>
      </c>
      <c r="F1122" t="s">
        <v>12</v>
      </c>
      <c r="G1122">
        <v>60</v>
      </c>
    </row>
    <row r="1123" spans="1:7" x14ac:dyDescent="0.2">
      <c r="A1123">
        <f t="shared" ref="A1123:A1186" si="19">IF(B1123=B1122,A1122,A1122+1)</f>
        <v>94</v>
      </c>
      <c r="B1123" t="s">
        <v>6</v>
      </c>
      <c r="C1123">
        <f>IF(data!$B1123&lt;&gt;data!$B1122,1,C1122+1)</f>
        <v>6</v>
      </c>
      <c r="D1123">
        <v>13.721848749616356</v>
      </c>
      <c r="E1123" t="s">
        <v>7</v>
      </c>
      <c r="F1123" t="s">
        <v>12</v>
      </c>
      <c r="G1123">
        <v>60</v>
      </c>
    </row>
    <row r="1124" spans="1:7" x14ac:dyDescent="0.2">
      <c r="A1124">
        <f t="shared" si="19"/>
        <v>94</v>
      </c>
      <c r="B1124" t="s">
        <v>6</v>
      </c>
      <c r="C1124">
        <f>IF(data!$B1124&lt;&gt;data!$B1123,1,C1123+1)</f>
        <v>7</v>
      </c>
      <c r="D1124">
        <v>12.154901959985743</v>
      </c>
      <c r="E1124" t="s">
        <v>7</v>
      </c>
      <c r="F1124" t="s">
        <v>12</v>
      </c>
      <c r="G1124">
        <v>60</v>
      </c>
    </row>
    <row r="1125" spans="1:7" x14ac:dyDescent="0.2">
      <c r="A1125">
        <f t="shared" si="19"/>
        <v>94</v>
      </c>
      <c r="B1125" t="s">
        <v>6</v>
      </c>
      <c r="C1125">
        <f>IF(data!$B1125&lt;&gt;data!$B1124,1,C1124+1)</f>
        <v>8</v>
      </c>
      <c r="D1125">
        <v>10.596910013008056</v>
      </c>
      <c r="E1125" t="s">
        <v>7</v>
      </c>
      <c r="F1125" t="s">
        <v>12</v>
      </c>
      <c r="G1125">
        <v>60</v>
      </c>
    </row>
    <row r="1126" spans="1:7" x14ac:dyDescent="0.2">
      <c r="A1126">
        <f t="shared" si="19"/>
        <v>94</v>
      </c>
      <c r="B1126" t="s">
        <v>6</v>
      </c>
      <c r="C1126">
        <f>IF(data!$B1126&lt;&gt;data!$B1125,1,C1125+1)</f>
        <v>9</v>
      </c>
      <c r="D1126">
        <v>9.0457574905606748</v>
      </c>
      <c r="E1126" t="s">
        <v>7</v>
      </c>
      <c r="F1126" t="s">
        <v>12</v>
      </c>
      <c r="G1126">
        <v>60</v>
      </c>
    </row>
    <row r="1127" spans="1:7" x14ac:dyDescent="0.2">
      <c r="A1127">
        <f t="shared" si="19"/>
        <v>94</v>
      </c>
      <c r="B1127" t="s">
        <v>6</v>
      </c>
      <c r="C1127">
        <f>IF(data!$B1127&lt;&gt;data!$B1126,1,C1126+1)</f>
        <v>10</v>
      </c>
      <c r="D1127">
        <v>7.5</v>
      </c>
      <c r="E1127" t="s">
        <v>7</v>
      </c>
      <c r="F1127" t="s">
        <v>12</v>
      </c>
      <c r="G1127">
        <v>60</v>
      </c>
    </row>
    <row r="1128" spans="1:7" x14ac:dyDescent="0.2">
      <c r="A1128">
        <f t="shared" si="19"/>
        <v>94</v>
      </c>
      <c r="B1128" t="s">
        <v>6</v>
      </c>
      <c r="C1128">
        <f>IF(data!$B1128&lt;&gt;data!$B1127,1,C1127+1)</f>
        <v>11</v>
      </c>
      <c r="D1128">
        <v>5.9586073148417746</v>
      </c>
      <c r="E1128" t="s">
        <v>7</v>
      </c>
      <c r="F1128" t="s">
        <v>12</v>
      </c>
      <c r="G1128">
        <v>60</v>
      </c>
    </row>
    <row r="1129" spans="1:7" x14ac:dyDescent="0.2">
      <c r="A1129">
        <f t="shared" si="19"/>
        <v>94</v>
      </c>
      <c r="B1129" t="s">
        <v>6</v>
      </c>
      <c r="C1129">
        <f>IF(data!$B1129&lt;&gt;data!$B1128,1,C1128+1)</f>
        <v>12</v>
      </c>
      <c r="D1129">
        <v>4.4208187539523749</v>
      </c>
      <c r="E1129" t="s">
        <v>7</v>
      </c>
      <c r="F1129" t="s">
        <v>12</v>
      </c>
      <c r="G1129">
        <v>60</v>
      </c>
    </row>
    <row r="1130" spans="1:7" x14ac:dyDescent="0.2">
      <c r="A1130">
        <f t="shared" si="19"/>
        <v>95</v>
      </c>
      <c r="B1130" t="s">
        <v>5</v>
      </c>
      <c r="C1130">
        <f>IF(data!$B1130&lt;&gt;data!$B1129,1,C1129+1)</f>
        <v>1</v>
      </c>
      <c r="D1130">
        <v>21</v>
      </c>
      <c r="E1130" t="s">
        <v>13</v>
      </c>
      <c r="F1130" t="s">
        <v>12</v>
      </c>
      <c r="G1130">
        <v>60</v>
      </c>
    </row>
    <row r="1131" spans="1:7" x14ac:dyDescent="0.2">
      <c r="A1131">
        <f t="shared" si="19"/>
        <v>95</v>
      </c>
      <c r="B1131" t="s">
        <v>5</v>
      </c>
      <c r="C1131">
        <f>IF(data!$B1131&lt;&gt;data!$B1130,1,C1130+1)</f>
        <v>2</v>
      </c>
      <c r="D1131">
        <v>20.198970004336019</v>
      </c>
      <c r="E1131" t="s">
        <v>13</v>
      </c>
      <c r="F1131" t="s">
        <v>12</v>
      </c>
      <c r="G1131">
        <v>60</v>
      </c>
    </row>
    <row r="1132" spans="1:7" x14ac:dyDescent="0.2">
      <c r="A1132">
        <f t="shared" si="19"/>
        <v>95</v>
      </c>
      <c r="B1132" t="s">
        <v>5</v>
      </c>
      <c r="C1132">
        <f>IF(data!$B1132&lt;&gt;data!$B1131,1,C1131+1)</f>
        <v>3</v>
      </c>
      <c r="D1132">
        <v>19.522878745280337</v>
      </c>
      <c r="E1132" t="s">
        <v>13</v>
      </c>
      <c r="F1132" t="s">
        <v>12</v>
      </c>
      <c r="G1132">
        <v>60</v>
      </c>
    </row>
    <row r="1133" spans="1:7" x14ac:dyDescent="0.2">
      <c r="A1133">
        <f t="shared" si="19"/>
        <v>95</v>
      </c>
      <c r="B1133" t="s">
        <v>5</v>
      </c>
      <c r="C1133">
        <f>IF(data!$B1133&lt;&gt;data!$B1132,1,C1132+1)</f>
        <v>4</v>
      </c>
      <c r="D1133">
        <v>18.897940008672037</v>
      </c>
      <c r="E1133" t="s">
        <v>13</v>
      </c>
      <c r="F1133" t="s">
        <v>12</v>
      </c>
      <c r="G1133">
        <v>60</v>
      </c>
    </row>
    <row r="1134" spans="1:7" x14ac:dyDescent="0.2">
      <c r="A1134">
        <f t="shared" si="19"/>
        <v>95</v>
      </c>
      <c r="B1134" t="s">
        <v>5</v>
      </c>
      <c r="C1134">
        <f>IF(data!$B1134&lt;&gt;data!$B1133,1,C1133+1)</f>
        <v>5</v>
      </c>
      <c r="D1134">
        <v>18.301029995663981</v>
      </c>
      <c r="E1134" t="s">
        <v>13</v>
      </c>
      <c r="F1134" t="s">
        <v>12</v>
      </c>
      <c r="G1134">
        <v>60</v>
      </c>
    </row>
    <row r="1135" spans="1:7" x14ac:dyDescent="0.2">
      <c r="A1135">
        <f t="shared" si="19"/>
        <v>95</v>
      </c>
      <c r="B1135" t="s">
        <v>5</v>
      </c>
      <c r="C1135">
        <f>IF(data!$B1135&lt;&gt;data!$B1134,1,C1134+1)</f>
        <v>6</v>
      </c>
      <c r="D1135">
        <v>17.721848749616356</v>
      </c>
      <c r="E1135" t="s">
        <v>13</v>
      </c>
      <c r="F1135" t="s">
        <v>12</v>
      </c>
      <c r="G1135">
        <v>60</v>
      </c>
    </row>
    <row r="1136" spans="1:7" x14ac:dyDescent="0.2">
      <c r="A1136">
        <f t="shared" si="19"/>
        <v>95</v>
      </c>
      <c r="B1136" t="s">
        <v>5</v>
      </c>
      <c r="C1136">
        <f>IF(data!$B1136&lt;&gt;data!$B1135,1,C1135+1)</f>
        <v>7</v>
      </c>
      <c r="D1136">
        <v>17.154901959985743</v>
      </c>
      <c r="E1136" t="s">
        <v>13</v>
      </c>
      <c r="F1136" t="s">
        <v>12</v>
      </c>
      <c r="G1136">
        <v>60</v>
      </c>
    </row>
    <row r="1137" spans="1:7" x14ac:dyDescent="0.2">
      <c r="A1137">
        <f t="shared" si="19"/>
        <v>95</v>
      </c>
      <c r="B1137" t="s">
        <v>5</v>
      </c>
      <c r="C1137">
        <f>IF(data!$B1137&lt;&gt;data!$B1136,1,C1136+1)</f>
        <v>8</v>
      </c>
      <c r="D1137">
        <v>16.596910013008056</v>
      </c>
      <c r="E1137" t="s">
        <v>13</v>
      </c>
      <c r="F1137" t="s">
        <v>12</v>
      </c>
      <c r="G1137">
        <v>60</v>
      </c>
    </row>
    <row r="1138" spans="1:7" x14ac:dyDescent="0.2">
      <c r="A1138">
        <f t="shared" si="19"/>
        <v>95</v>
      </c>
      <c r="B1138" t="s">
        <v>5</v>
      </c>
      <c r="C1138">
        <f>IF(data!$B1138&lt;&gt;data!$B1137,1,C1137+1)</f>
        <v>9</v>
      </c>
      <c r="D1138">
        <v>16.045757490560675</v>
      </c>
      <c r="E1138" t="s">
        <v>13</v>
      </c>
      <c r="F1138" t="s">
        <v>12</v>
      </c>
      <c r="G1138">
        <v>60</v>
      </c>
    </row>
    <row r="1139" spans="1:7" x14ac:dyDescent="0.2">
      <c r="A1139">
        <f t="shared" si="19"/>
        <v>95</v>
      </c>
      <c r="B1139" t="s">
        <v>5</v>
      </c>
      <c r="C1139">
        <f>IF(data!$B1139&lt;&gt;data!$B1138,1,C1138+1)</f>
        <v>10</v>
      </c>
      <c r="D1139">
        <v>15.5</v>
      </c>
      <c r="E1139" t="s">
        <v>13</v>
      </c>
      <c r="F1139" t="s">
        <v>12</v>
      </c>
      <c r="G1139">
        <v>60</v>
      </c>
    </row>
    <row r="1140" spans="1:7" x14ac:dyDescent="0.2">
      <c r="A1140">
        <f t="shared" si="19"/>
        <v>95</v>
      </c>
      <c r="B1140" t="s">
        <v>5</v>
      </c>
      <c r="C1140">
        <f>IF(data!$B1140&lt;&gt;data!$B1139,1,C1139+1)</f>
        <v>11</v>
      </c>
      <c r="D1140">
        <v>14.958607314841775</v>
      </c>
      <c r="E1140" t="s">
        <v>13</v>
      </c>
      <c r="F1140" t="s">
        <v>12</v>
      </c>
      <c r="G1140">
        <v>60</v>
      </c>
    </row>
    <row r="1141" spans="1:7" x14ac:dyDescent="0.2">
      <c r="A1141">
        <f t="shared" si="19"/>
        <v>95</v>
      </c>
      <c r="B1141" t="s">
        <v>5</v>
      </c>
      <c r="C1141">
        <f>IF(data!$B1141&lt;&gt;data!$B1140,1,C1140+1)</f>
        <v>12</v>
      </c>
      <c r="D1141">
        <v>14.420818753952375</v>
      </c>
      <c r="E1141" t="s">
        <v>13</v>
      </c>
      <c r="F1141" t="s">
        <v>12</v>
      </c>
      <c r="G1141">
        <v>60</v>
      </c>
    </row>
    <row r="1142" spans="1:7" x14ac:dyDescent="0.2">
      <c r="A1142">
        <f t="shared" si="19"/>
        <v>96</v>
      </c>
      <c r="B1142" t="s">
        <v>6</v>
      </c>
      <c r="C1142">
        <f>IF(data!$B1142&lt;&gt;data!$B1141,1,C1141+1)</f>
        <v>1</v>
      </c>
      <c r="D1142">
        <v>23</v>
      </c>
      <c r="E1142" t="s">
        <v>13</v>
      </c>
      <c r="F1142" t="s">
        <v>12</v>
      </c>
      <c r="G1142">
        <v>60</v>
      </c>
    </row>
    <row r="1143" spans="1:7" x14ac:dyDescent="0.2">
      <c r="A1143">
        <f t="shared" si="19"/>
        <v>96</v>
      </c>
      <c r="B1143" t="s">
        <v>6</v>
      </c>
      <c r="C1143">
        <f>IF(data!$B1143&lt;&gt;data!$B1142,1,C1142+1)</f>
        <v>2</v>
      </c>
      <c r="D1143">
        <v>21.498970004336019</v>
      </c>
      <c r="E1143" t="s">
        <v>13</v>
      </c>
      <c r="F1143" t="s">
        <v>12</v>
      </c>
      <c r="G1143">
        <v>60</v>
      </c>
    </row>
    <row r="1144" spans="1:7" x14ac:dyDescent="0.2">
      <c r="A1144">
        <f t="shared" si="19"/>
        <v>96</v>
      </c>
      <c r="B1144" t="s">
        <v>6</v>
      </c>
      <c r="C1144">
        <f>IF(data!$B1144&lt;&gt;data!$B1143,1,C1143+1)</f>
        <v>3</v>
      </c>
      <c r="D1144">
        <v>20.122878745280339</v>
      </c>
      <c r="E1144" t="s">
        <v>13</v>
      </c>
      <c r="F1144" t="s">
        <v>12</v>
      </c>
      <c r="G1144">
        <v>60</v>
      </c>
    </row>
    <row r="1145" spans="1:7" x14ac:dyDescent="0.2">
      <c r="A1145">
        <f t="shared" si="19"/>
        <v>96</v>
      </c>
      <c r="B1145" t="s">
        <v>6</v>
      </c>
      <c r="C1145">
        <f>IF(data!$B1145&lt;&gt;data!$B1144,1,C1144+1)</f>
        <v>4</v>
      </c>
      <c r="D1145">
        <v>18.79794000867204</v>
      </c>
      <c r="E1145" t="s">
        <v>13</v>
      </c>
      <c r="F1145" t="s">
        <v>12</v>
      </c>
      <c r="G1145">
        <v>60</v>
      </c>
    </row>
    <row r="1146" spans="1:7" x14ac:dyDescent="0.2">
      <c r="A1146">
        <f t="shared" si="19"/>
        <v>96</v>
      </c>
      <c r="B1146" t="s">
        <v>6</v>
      </c>
      <c r="C1146">
        <f>IF(data!$B1146&lt;&gt;data!$B1145,1,C1145+1)</f>
        <v>5</v>
      </c>
      <c r="D1146">
        <v>17.501029995663984</v>
      </c>
      <c r="E1146" t="s">
        <v>13</v>
      </c>
      <c r="F1146" t="s">
        <v>12</v>
      </c>
      <c r="G1146">
        <v>60</v>
      </c>
    </row>
    <row r="1147" spans="1:7" x14ac:dyDescent="0.2">
      <c r="A1147">
        <f t="shared" si="19"/>
        <v>96</v>
      </c>
      <c r="B1147" t="s">
        <v>6</v>
      </c>
      <c r="C1147">
        <f>IF(data!$B1147&lt;&gt;data!$B1146,1,C1146+1)</f>
        <v>6</v>
      </c>
      <c r="D1147">
        <v>16.22184874961636</v>
      </c>
      <c r="E1147" t="s">
        <v>13</v>
      </c>
      <c r="F1147" t="s">
        <v>12</v>
      </c>
      <c r="G1147">
        <v>60</v>
      </c>
    </row>
    <row r="1148" spans="1:7" x14ac:dyDescent="0.2">
      <c r="A1148">
        <f t="shared" si="19"/>
        <v>96</v>
      </c>
      <c r="B1148" t="s">
        <v>6</v>
      </c>
      <c r="C1148">
        <f>IF(data!$B1148&lt;&gt;data!$B1147,1,C1147+1)</f>
        <v>7</v>
      </c>
      <c r="D1148">
        <v>14.954901959985747</v>
      </c>
      <c r="E1148" t="s">
        <v>13</v>
      </c>
      <c r="F1148" t="s">
        <v>12</v>
      </c>
      <c r="G1148">
        <v>60</v>
      </c>
    </row>
    <row r="1149" spans="1:7" x14ac:dyDescent="0.2">
      <c r="A1149">
        <f t="shared" si="19"/>
        <v>96</v>
      </c>
      <c r="B1149" t="s">
        <v>6</v>
      </c>
      <c r="C1149">
        <f>IF(data!$B1149&lt;&gt;data!$B1148,1,C1148+1)</f>
        <v>8</v>
      </c>
      <c r="D1149">
        <v>13.696910013008061</v>
      </c>
      <c r="E1149" t="s">
        <v>13</v>
      </c>
      <c r="F1149" t="s">
        <v>12</v>
      </c>
      <c r="G1149">
        <v>60</v>
      </c>
    </row>
    <row r="1150" spans="1:7" x14ac:dyDescent="0.2">
      <c r="A1150">
        <f t="shared" si="19"/>
        <v>96</v>
      </c>
      <c r="B1150" t="s">
        <v>6</v>
      </c>
      <c r="C1150">
        <f>IF(data!$B1150&lt;&gt;data!$B1149,1,C1149+1)</f>
        <v>9</v>
      </c>
      <c r="D1150">
        <v>12.44575749056068</v>
      </c>
      <c r="E1150" t="s">
        <v>13</v>
      </c>
      <c r="F1150" t="s">
        <v>12</v>
      </c>
      <c r="G1150">
        <v>60</v>
      </c>
    </row>
    <row r="1151" spans="1:7" x14ac:dyDescent="0.2">
      <c r="A1151">
        <f t="shared" si="19"/>
        <v>96</v>
      </c>
      <c r="B1151" t="s">
        <v>6</v>
      </c>
      <c r="C1151">
        <f>IF(data!$B1151&lt;&gt;data!$B1150,1,C1150+1)</f>
        <v>10</v>
      </c>
      <c r="D1151">
        <v>11.200000000000006</v>
      </c>
      <c r="E1151" t="s">
        <v>13</v>
      </c>
      <c r="F1151" t="s">
        <v>12</v>
      </c>
      <c r="G1151">
        <v>60</v>
      </c>
    </row>
    <row r="1152" spans="1:7" x14ac:dyDescent="0.2">
      <c r="A1152">
        <f t="shared" si="19"/>
        <v>96</v>
      </c>
      <c r="B1152" t="s">
        <v>6</v>
      </c>
      <c r="C1152">
        <f>IF(data!$B1152&lt;&gt;data!$B1151,1,C1151+1)</f>
        <v>11</v>
      </c>
      <c r="D1152">
        <v>9.9586073148417817</v>
      </c>
      <c r="E1152" t="s">
        <v>13</v>
      </c>
      <c r="F1152" t="s">
        <v>12</v>
      </c>
      <c r="G1152">
        <v>60</v>
      </c>
    </row>
    <row r="1153" spans="1:7" x14ac:dyDescent="0.2">
      <c r="A1153">
        <f t="shared" si="19"/>
        <v>96</v>
      </c>
      <c r="B1153" t="s">
        <v>6</v>
      </c>
      <c r="C1153">
        <f>IF(data!$B1153&lt;&gt;data!$B1152,1,C1152+1)</f>
        <v>12</v>
      </c>
      <c r="D1153">
        <v>8.7208187539523827</v>
      </c>
      <c r="E1153" t="s">
        <v>13</v>
      </c>
      <c r="F1153" t="s">
        <v>12</v>
      </c>
      <c r="G1153">
        <v>60</v>
      </c>
    </row>
    <row r="1154" spans="1:7" x14ac:dyDescent="0.2">
      <c r="A1154">
        <f t="shared" si="19"/>
        <v>97</v>
      </c>
      <c r="B1154" t="s">
        <v>5</v>
      </c>
      <c r="C1154">
        <f>IF(data!$B1154&lt;&gt;data!$B1153,1,C1153+1)</f>
        <v>1</v>
      </c>
      <c r="D1154">
        <v>18</v>
      </c>
      <c r="E1154" t="s">
        <v>7</v>
      </c>
      <c r="F1154" t="s">
        <v>14</v>
      </c>
      <c r="G1154">
        <v>60</v>
      </c>
    </row>
    <row r="1155" spans="1:7" x14ac:dyDescent="0.2">
      <c r="A1155">
        <f t="shared" si="19"/>
        <v>97</v>
      </c>
      <c r="B1155" t="s">
        <v>5</v>
      </c>
      <c r="C1155">
        <f>IF(data!$B1155&lt;&gt;data!$B1154,1,C1154+1)</f>
        <v>2</v>
      </c>
      <c r="D1155">
        <v>17</v>
      </c>
      <c r="E1155" t="s">
        <v>7</v>
      </c>
      <c r="F1155" t="s">
        <v>14</v>
      </c>
      <c r="G1155">
        <v>60</v>
      </c>
    </row>
    <row r="1156" spans="1:7" x14ac:dyDescent="0.2">
      <c r="A1156">
        <f t="shared" si="19"/>
        <v>97</v>
      </c>
      <c r="B1156" t="s">
        <v>5</v>
      </c>
      <c r="C1156">
        <f>IF(data!$B1156&lt;&gt;data!$B1155,1,C1155+1)</f>
        <v>3</v>
      </c>
      <c r="D1156">
        <v>16</v>
      </c>
      <c r="E1156" t="s">
        <v>7</v>
      </c>
      <c r="F1156" t="s">
        <v>14</v>
      </c>
      <c r="G1156">
        <v>60</v>
      </c>
    </row>
    <row r="1157" spans="1:7" x14ac:dyDescent="0.2">
      <c r="A1157">
        <f t="shared" si="19"/>
        <v>97</v>
      </c>
      <c r="B1157" t="s">
        <v>5</v>
      </c>
      <c r="C1157">
        <f>IF(data!$B1157&lt;&gt;data!$B1156,1,C1156+1)</f>
        <v>4</v>
      </c>
      <c r="D1157">
        <v>15</v>
      </c>
      <c r="E1157" t="s">
        <v>7</v>
      </c>
      <c r="F1157" t="s">
        <v>14</v>
      </c>
      <c r="G1157">
        <v>60</v>
      </c>
    </row>
    <row r="1158" spans="1:7" x14ac:dyDescent="0.2">
      <c r="A1158">
        <f t="shared" si="19"/>
        <v>97</v>
      </c>
      <c r="B1158" t="s">
        <v>5</v>
      </c>
      <c r="C1158">
        <f>IF(data!$B1158&lt;&gt;data!$B1157,1,C1157+1)</f>
        <v>5</v>
      </c>
      <c r="D1158">
        <v>14</v>
      </c>
      <c r="E1158" t="s">
        <v>7</v>
      </c>
      <c r="F1158" t="s">
        <v>14</v>
      </c>
      <c r="G1158">
        <v>60</v>
      </c>
    </row>
    <row r="1159" spans="1:7" x14ac:dyDescent="0.2">
      <c r="A1159">
        <f t="shared" si="19"/>
        <v>97</v>
      </c>
      <c r="B1159" t="s">
        <v>5</v>
      </c>
      <c r="C1159">
        <f>IF(data!$B1159&lt;&gt;data!$B1158,1,C1158+1)</f>
        <v>6</v>
      </c>
      <c r="D1159">
        <v>13</v>
      </c>
      <c r="E1159" t="s">
        <v>7</v>
      </c>
      <c r="F1159" t="s">
        <v>14</v>
      </c>
      <c r="G1159">
        <v>60</v>
      </c>
    </row>
    <row r="1160" spans="1:7" x14ac:dyDescent="0.2">
      <c r="A1160">
        <f t="shared" si="19"/>
        <v>97</v>
      </c>
      <c r="B1160" t="s">
        <v>5</v>
      </c>
      <c r="C1160">
        <f>IF(data!$B1160&lt;&gt;data!$B1159,1,C1159+1)</f>
        <v>7</v>
      </c>
      <c r="D1160">
        <v>12</v>
      </c>
      <c r="E1160" t="s">
        <v>7</v>
      </c>
      <c r="F1160" t="s">
        <v>14</v>
      </c>
      <c r="G1160">
        <v>60</v>
      </c>
    </row>
    <row r="1161" spans="1:7" x14ac:dyDescent="0.2">
      <c r="A1161">
        <f t="shared" si="19"/>
        <v>97</v>
      </c>
      <c r="B1161" t="s">
        <v>5</v>
      </c>
      <c r="C1161">
        <f>IF(data!$B1161&lt;&gt;data!$B1160,1,C1160+1)</f>
        <v>8</v>
      </c>
      <c r="D1161">
        <v>11</v>
      </c>
      <c r="E1161" t="s">
        <v>7</v>
      </c>
      <c r="F1161" t="s">
        <v>14</v>
      </c>
      <c r="G1161">
        <v>60</v>
      </c>
    </row>
    <row r="1162" spans="1:7" x14ac:dyDescent="0.2">
      <c r="A1162">
        <f t="shared" si="19"/>
        <v>97</v>
      </c>
      <c r="B1162" t="s">
        <v>5</v>
      </c>
      <c r="C1162">
        <f>IF(data!$B1162&lt;&gt;data!$B1161,1,C1161+1)</f>
        <v>9</v>
      </c>
      <c r="D1162">
        <v>10</v>
      </c>
      <c r="E1162" t="s">
        <v>7</v>
      </c>
      <c r="F1162" t="s">
        <v>14</v>
      </c>
      <c r="G1162">
        <v>60</v>
      </c>
    </row>
    <row r="1163" spans="1:7" x14ac:dyDescent="0.2">
      <c r="A1163">
        <f t="shared" si="19"/>
        <v>97</v>
      </c>
      <c r="B1163" t="s">
        <v>5</v>
      </c>
      <c r="C1163">
        <f>IF(data!$B1163&lt;&gt;data!$B1162,1,C1162+1)</f>
        <v>10</v>
      </c>
      <c r="D1163">
        <v>9</v>
      </c>
      <c r="E1163" t="s">
        <v>7</v>
      </c>
      <c r="F1163" t="s">
        <v>14</v>
      </c>
      <c r="G1163">
        <v>60</v>
      </c>
    </row>
    <row r="1164" spans="1:7" x14ac:dyDescent="0.2">
      <c r="A1164">
        <f t="shared" si="19"/>
        <v>97</v>
      </c>
      <c r="B1164" t="s">
        <v>5</v>
      </c>
      <c r="C1164">
        <f>IF(data!$B1164&lt;&gt;data!$B1163,1,C1163+1)</f>
        <v>11</v>
      </c>
      <c r="D1164">
        <v>8</v>
      </c>
      <c r="E1164" t="s">
        <v>7</v>
      </c>
      <c r="F1164" t="s">
        <v>14</v>
      </c>
      <c r="G1164">
        <v>60</v>
      </c>
    </row>
    <row r="1165" spans="1:7" x14ac:dyDescent="0.2">
      <c r="A1165">
        <f t="shared" si="19"/>
        <v>97</v>
      </c>
      <c r="B1165" t="s">
        <v>5</v>
      </c>
      <c r="C1165">
        <f>IF(data!$B1165&lt;&gt;data!$B1164,1,C1164+1)</f>
        <v>12</v>
      </c>
      <c r="D1165">
        <v>7</v>
      </c>
      <c r="E1165" t="s">
        <v>7</v>
      </c>
      <c r="F1165" t="s">
        <v>14</v>
      </c>
      <c r="G1165">
        <v>60</v>
      </c>
    </row>
    <row r="1166" spans="1:7" x14ac:dyDescent="0.2">
      <c r="A1166">
        <f t="shared" si="19"/>
        <v>98</v>
      </c>
      <c r="B1166" t="s">
        <v>6</v>
      </c>
      <c r="C1166">
        <f>IF(data!$B1166&lt;&gt;data!$B1165,1,C1165+1)</f>
        <v>1</v>
      </c>
      <c r="D1166">
        <v>20</v>
      </c>
      <c r="E1166" t="s">
        <v>7</v>
      </c>
      <c r="F1166" t="s">
        <v>14</v>
      </c>
      <c r="G1166">
        <v>60</v>
      </c>
    </row>
    <row r="1167" spans="1:7" x14ac:dyDescent="0.2">
      <c r="A1167">
        <f t="shared" si="19"/>
        <v>98</v>
      </c>
      <c r="B1167" t="s">
        <v>6</v>
      </c>
      <c r="C1167">
        <f>IF(data!$B1167&lt;&gt;data!$B1166,1,C1166+1)</f>
        <v>2</v>
      </c>
      <c r="D1167">
        <v>18.5</v>
      </c>
      <c r="E1167" t="s">
        <v>7</v>
      </c>
      <c r="F1167" t="s">
        <v>14</v>
      </c>
      <c r="G1167">
        <v>60</v>
      </c>
    </row>
    <row r="1168" spans="1:7" x14ac:dyDescent="0.2">
      <c r="A1168">
        <f t="shared" si="19"/>
        <v>98</v>
      </c>
      <c r="B1168" t="s">
        <v>6</v>
      </c>
      <c r="C1168">
        <f>IF(data!$B1168&lt;&gt;data!$B1167,1,C1167+1)</f>
        <v>3</v>
      </c>
      <c r="D1168">
        <v>17</v>
      </c>
      <c r="E1168" t="s">
        <v>7</v>
      </c>
      <c r="F1168" t="s">
        <v>14</v>
      </c>
      <c r="G1168">
        <v>60</v>
      </c>
    </row>
    <row r="1169" spans="1:7" x14ac:dyDescent="0.2">
      <c r="A1169">
        <f t="shared" si="19"/>
        <v>98</v>
      </c>
      <c r="B1169" t="s">
        <v>6</v>
      </c>
      <c r="C1169">
        <f>IF(data!$B1169&lt;&gt;data!$B1168,1,C1168+1)</f>
        <v>4</v>
      </c>
      <c r="D1169">
        <v>15.5</v>
      </c>
      <c r="E1169" t="s">
        <v>7</v>
      </c>
      <c r="F1169" t="s">
        <v>14</v>
      </c>
      <c r="G1169">
        <v>60</v>
      </c>
    </row>
    <row r="1170" spans="1:7" x14ac:dyDescent="0.2">
      <c r="A1170">
        <f t="shared" si="19"/>
        <v>98</v>
      </c>
      <c r="B1170" t="s">
        <v>6</v>
      </c>
      <c r="C1170">
        <f>IF(data!$B1170&lt;&gt;data!$B1169,1,C1169+1)</f>
        <v>5</v>
      </c>
      <c r="D1170">
        <v>14</v>
      </c>
      <c r="E1170" t="s">
        <v>7</v>
      </c>
      <c r="F1170" t="s">
        <v>14</v>
      </c>
      <c r="G1170">
        <v>60</v>
      </c>
    </row>
    <row r="1171" spans="1:7" x14ac:dyDescent="0.2">
      <c r="A1171">
        <f t="shared" si="19"/>
        <v>98</v>
      </c>
      <c r="B1171" t="s">
        <v>6</v>
      </c>
      <c r="C1171">
        <f>IF(data!$B1171&lt;&gt;data!$B1170,1,C1170+1)</f>
        <v>6</v>
      </c>
      <c r="D1171">
        <v>12.5</v>
      </c>
      <c r="E1171" t="s">
        <v>7</v>
      </c>
      <c r="F1171" t="s">
        <v>14</v>
      </c>
      <c r="G1171">
        <v>60</v>
      </c>
    </row>
    <row r="1172" spans="1:7" x14ac:dyDescent="0.2">
      <c r="A1172">
        <f t="shared" si="19"/>
        <v>98</v>
      </c>
      <c r="B1172" t="s">
        <v>6</v>
      </c>
      <c r="C1172">
        <f>IF(data!$B1172&lt;&gt;data!$B1171,1,C1171+1)</f>
        <v>7</v>
      </c>
      <c r="D1172">
        <v>11</v>
      </c>
      <c r="E1172" t="s">
        <v>7</v>
      </c>
      <c r="F1172" t="s">
        <v>14</v>
      </c>
      <c r="G1172">
        <v>60</v>
      </c>
    </row>
    <row r="1173" spans="1:7" x14ac:dyDescent="0.2">
      <c r="A1173">
        <f t="shared" si="19"/>
        <v>98</v>
      </c>
      <c r="B1173" t="s">
        <v>6</v>
      </c>
      <c r="C1173">
        <f>IF(data!$B1173&lt;&gt;data!$B1172,1,C1172+1)</f>
        <v>8</v>
      </c>
      <c r="D1173">
        <v>9.5</v>
      </c>
      <c r="E1173" t="s">
        <v>7</v>
      </c>
      <c r="F1173" t="s">
        <v>14</v>
      </c>
      <c r="G1173">
        <v>60</v>
      </c>
    </row>
    <row r="1174" spans="1:7" x14ac:dyDescent="0.2">
      <c r="A1174">
        <f t="shared" si="19"/>
        <v>98</v>
      </c>
      <c r="B1174" t="s">
        <v>6</v>
      </c>
      <c r="C1174">
        <f>IF(data!$B1174&lt;&gt;data!$B1173,1,C1173+1)</f>
        <v>9</v>
      </c>
      <c r="D1174">
        <v>8</v>
      </c>
      <c r="E1174" t="s">
        <v>7</v>
      </c>
      <c r="F1174" t="s">
        <v>14</v>
      </c>
      <c r="G1174">
        <v>60</v>
      </c>
    </row>
    <row r="1175" spans="1:7" x14ac:dyDescent="0.2">
      <c r="A1175">
        <f t="shared" si="19"/>
        <v>98</v>
      </c>
      <c r="B1175" t="s">
        <v>6</v>
      </c>
      <c r="C1175">
        <f>IF(data!$B1175&lt;&gt;data!$B1174,1,C1174+1)</f>
        <v>10</v>
      </c>
      <c r="D1175">
        <v>6.5</v>
      </c>
      <c r="E1175" t="s">
        <v>7</v>
      </c>
      <c r="F1175" t="s">
        <v>14</v>
      </c>
      <c r="G1175">
        <v>60</v>
      </c>
    </row>
    <row r="1176" spans="1:7" x14ac:dyDescent="0.2">
      <c r="A1176">
        <f t="shared" si="19"/>
        <v>98</v>
      </c>
      <c r="B1176" t="s">
        <v>6</v>
      </c>
      <c r="C1176">
        <f>IF(data!$B1176&lt;&gt;data!$B1175,1,C1175+1)</f>
        <v>11</v>
      </c>
      <c r="D1176">
        <v>5</v>
      </c>
      <c r="E1176" t="s">
        <v>7</v>
      </c>
      <c r="F1176" t="s">
        <v>14</v>
      </c>
      <c r="G1176">
        <v>60</v>
      </c>
    </row>
    <row r="1177" spans="1:7" x14ac:dyDescent="0.2">
      <c r="A1177">
        <f t="shared" si="19"/>
        <v>98</v>
      </c>
      <c r="B1177" t="s">
        <v>6</v>
      </c>
      <c r="C1177">
        <f>IF(data!$B1177&lt;&gt;data!$B1176,1,C1176+1)</f>
        <v>12</v>
      </c>
      <c r="D1177">
        <v>3.5</v>
      </c>
      <c r="E1177" t="s">
        <v>7</v>
      </c>
      <c r="F1177" t="s">
        <v>14</v>
      </c>
      <c r="G1177">
        <v>60</v>
      </c>
    </row>
    <row r="1178" spans="1:7" x14ac:dyDescent="0.2">
      <c r="A1178">
        <f t="shared" si="19"/>
        <v>99</v>
      </c>
      <c r="B1178" t="s">
        <v>5</v>
      </c>
      <c r="C1178">
        <f>IF(data!$B1178&lt;&gt;data!$B1177,1,C1177+1)</f>
        <v>1</v>
      </c>
      <c r="D1178">
        <v>19</v>
      </c>
      <c r="E1178" t="s">
        <v>13</v>
      </c>
      <c r="F1178" t="s">
        <v>14</v>
      </c>
      <c r="G1178">
        <v>60</v>
      </c>
    </row>
    <row r="1179" spans="1:7" x14ac:dyDescent="0.2">
      <c r="A1179">
        <f t="shared" si="19"/>
        <v>99</v>
      </c>
      <c r="B1179" t="s">
        <v>5</v>
      </c>
      <c r="C1179">
        <f>IF(data!$B1179&lt;&gt;data!$B1178,1,C1178+1)</f>
        <v>2</v>
      </c>
      <c r="D1179">
        <v>18.5</v>
      </c>
      <c r="E1179" t="s">
        <v>13</v>
      </c>
      <c r="F1179" t="s">
        <v>14</v>
      </c>
      <c r="G1179">
        <v>60</v>
      </c>
    </row>
    <row r="1180" spans="1:7" x14ac:dyDescent="0.2">
      <c r="A1180">
        <f t="shared" si="19"/>
        <v>99</v>
      </c>
      <c r="B1180" t="s">
        <v>5</v>
      </c>
      <c r="C1180">
        <f>IF(data!$B1180&lt;&gt;data!$B1179,1,C1179+1)</f>
        <v>3</v>
      </c>
      <c r="D1180">
        <v>18</v>
      </c>
      <c r="E1180" t="s">
        <v>13</v>
      </c>
      <c r="F1180" t="s">
        <v>14</v>
      </c>
      <c r="G1180">
        <v>60</v>
      </c>
    </row>
    <row r="1181" spans="1:7" x14ac:dyDescent="0.2">
      <c r="A1181">
        <f t="shared" si="19"/>
        <v>99</v>
      </c>
      <c r="B1181" t="s">
        <v>5</v>
      </c>
      <c r="C1181">
        <f>IF(data!$B1181&lt;&gt;data!$B1180,1,C1180+1)</f>
        <v>4</v>
      </c>
      <c r="D1181">
        <v>17.5</v>
      </c>
      <c r="E1181" t="s">
        <v>13</v>
      </c>
      <c r="F1181" t="s">
        <v>14</v>
      </c>
      <c r="G1181">
        <v>60</v>
      </c>
    </row>
    <row r="1182" spans="1:7" x14ac:dyDescent="0.2">
      <c r="A1182">
        <f t="shared" si="19"/>
        <v>99</v>
      </c>
      <c r="B1182" t="s">
        <v>5</v>
      </c>
      <c r="C1182">
        <f>IF(data!$B1182&lt;&gt;data!$B1181,1,C1181+1)</f>
        <v>5</v>
      </c>
      <c r="D1182">
        <v>17</v>
      </c>
      <c r="E1182" t="s">
        <v>13</v>
      </c>
      <c r="F1182" t="s">
        <v>14</v>
      </c>
      <c r="G1182">
        <v>60</v>
      </c>
    </row>
    <row r="1183" spans="1:7" x14ac:dyDescent="0.2">
      <c r="A1183">
        <f t="shared" si="19"/>
        <v>99</v>
      </c>
      <c r="B1183" t="s">
        <v>5</v>
      </c>
      <c r="C1183">
        <f>IF(data!$B1183&lt;&gt;data!$B1182,1,C1182+1)</f>
        <v>6</v>
      </c>
      <c r="D1183">
        <v>16.5</v>
      </c>
      <c r="E1183" t="s">
        <v>13</v>
      </c>
      <c r="F1183" t="s">
        <v>14</v>
      </c>
      <c r="G1183">
        <v>60</v>
      </c>
    </row>
    <row r="1184" spans="1:7" x14ac:dyDescent="0.2">
      <c r="A1184">
        <f t="shared" si="19"/>
        <v>99</v>
      </c>
      <c r="B1184" t="s">
        <v>5</v>
      </c>
      <c r="C1184">
        <f>IF(data!$B1184&lt;&gt;data!$B1183,1,C1183+1)</f>
        <v>7</v>
      </c>
      <c r="D1184">
        <v>16</v>
      </c>
      <c r="E1184" t="s">
        <v>13</v>
      </c>
      <c r="F1184" t="s">
        <v>14</v>
      </c>
      <c r="G1184">
        <v>60</v>
      </c>
    </row>
    <row r="1185" spans="1:7" x14ac:dyDescent="0.2">
      <c r="A1185">
        <f t="shared" si="19"/>
        <v>99</v>
      </c>
      <c r="B1185" t="s">
        <v>5</v>
      </c>
      <c r="C1185">
        <f>IF(data!$B1185&lt;&gt;data!$B1184,1,C1184+1)</f>
        <v>8</v>
      </c>
      <c r="D1185">
        <v>15.5</v>
      </c>
      <c r="E1185" t="s">
        <v>13</v>
      </c>
      <c r="F1185" t="s">
        <v>14</v>
      </c>
      <c r="G1185">
        <v>60</v>
      </c>
    </row>
    <row r="1186" spans="1:7" x14ac:dyDescent="0.2">
      <c r="A1186">
        <f t="shared" si="19"/>
        <v>99</v>
      </c>
      <c r="B1186" t="s">
        <v>5</v>
      </c>
      <c r="C1186">
        <f>IF(data!$B1186&lt;&gt;data!$B1185,1,C1185+1)</f>
        <v>9</v>
      </c>
      <c r="D1186">
        <v>15</v>
      </c>
      <c r="E1186" t="s">
        <v>13</v>
      </c>
      <c r="F1186" t="s">
        <v>14</v>
      </c>
      <c r="G1186">
        <v>60</v>
      </c>
    </row>
    <row r="1187" spans="1:7" x14ac:dyDescent="0.2">
      <c r="A1187">
        <f t="shared" ref="A1187:A1250" si="20">IF(B1187=B1186,A1186,A1186+1)</f>
        <v>99</v>
      </c>
      <c r="B1187" t="s">
        <v>5</v>
      </c>
      <c r="C1187">
        <f>IF(data!$B1187&lt;&gt;data!$B1186,1,C1186+1)</f>
        <v>10</v>
      </c>
      <c r="D1187">
        <v>14.5</v>
      </c>
      <c r="E1187" t="s">
        <v>13</v>
      </c>
      <c r="F1187" t="s">
        <v>14</v>
      </c>
      <c r="G1187">
        <v>60</v>
      </c>
    </row>
    <row r="1188" spans="1:7" x14ac:dyDescent="0.2">
      <c r="A1188">
        <f t="shared" si="20"/>
        <v>99</v>
      </c>
      <c r="B1188" t="s">
        <v>5</v>
      </c>
      <c r="C1188">
        <f>IF(data!$B1188&lt;&gt;data!$B1187,1,C1187+1)</f>
        <v>11</v>
      </c>
      <c r="D1188">
        <v>14</v>
      </c>
      <c r="E1188" t="s">
        <v>13</v>
      </c>
      <c r="F1188" t="s">
        <v>14</v>
      </c>
      <c r="G1188">
        <v>60</v>
      </c>
    </row>
    <row r="1189" spans="1:7" x14ac:dyDescent="0.2">
      <c r="A1189">
        <f t="shared" si="20"/>
        <v>99</v>
      </c>
      <c r="B1189" t="s">
        <v>5</v>
      </c>
      <c r="C1189">
        <f>IF(data!$B1189&lt;&gt;data!$B1188,1,C1188+1)</f>
        <v>12</v>
      </c>
      <c r="D1189">
        <v>13.5</v>
      </c>
      <c r="E1189" t="s">
        <v>13</v>
      </c>
      <c r="F1189" t="s">
        <v>14</v>
      </c>
      <c r="G1189">
        <v>60</v>
      </c>
    </row>
    <row r="1190" spans="1:7" x14ac:dyDescent="0.2">
      <c r="A1190">
        <f t="shared" si="20"/>
        <v>100</v>
      </c>
      <c r="B1190" t="s">
        <v>6</v>
      </c>
      <c r="C1190">
        <f>IF(data!$B1190&lt;&gt;data!$B1189,1,C1189+1)</f>
        <v>1</v>
      </c>
      <c r="D1190">
        <v>21</v>
      </c>
      <c r="E1190" t="s">
        <v>13</v>
      </c>
      <c r="F1190" t="s">
        <v>14</v>
      </c>
      <c r="G1190">
        <v>60</v>
      </c>
    </row>
    <row r="1191" spans="1:7" x14ac:dyDescent="0.2">
      <c r="A1191">
        <f t="shared" si="20"/>
        <v>100</v>
      </c>
      <c r="B1191" t="s">
        <v>6</v>
      </c>
      <c r="C1191">
        <f>IF(data!$B1191&lt;&gt;data!$B1190,1,C1190+1)</f>
        <v>2</v>
      </c>
      <c r="D1191">
        <v>19.8</v>
      </c>
      <c r="E1191" t="s">
        <v>13</v>
      </c>
      <c r="F1191" t="s">
        <v>14</v>
      </c>
      <c r="G1191">
        <v>60</v>
      </c>
    </row>
    <row r="1192" spans="1:7" x14ac:dyDescent="0.2">
      <c r="A1192">
        <f t="shared" si="20"/>
        <v>100</v>
      </c>
      <c r="B1192" t="s">
        <v>6</v>
      </c>
      <c r="C1192">
        <f>IF(data!$B1192&lt;&gt;data!$B1191,1,C1191+1)</f>
        <v>3</v>
      </c>
      <c r="D1192">
        <v>18.600000000000001</v>
      </c>
      <c r="E1192" t="s">
        <v>13</v>
      </c>
      <c r="F1192" t="s">
        <v>14</v>
      </c>
      <c r="G1192">
        <v>60</v>
      </c>
    </row>
    <row r="1193" spans="1:7" x14ac:dyDescent="0.2">
      <c r="A1193">
        <f t="shared" si="20"/>
        <v>100</v>
      </c>
      <c r="B1193" t="s">
        <v>6</v>
      </c>
      <c r="C1193">
        <f>IF(data!$B1193&lt;&gt;data!$B1192,1,C1192+1)</f>
        <v>4</v>
      </c>
      <c r="D1193">
        <v>17.400000000000002</v>
      </c>
      <c r="E1193" t="s">
        <v>13</v>
      </c>
      <c r="F1193" t="s">
        <v>14</v>
      </c>
      <c r="G1193">
        <v>60</v>
      </c>
    </row>
    <row r="1194" spans="1:7" x14ac:dyDescent="0.2">
      <c r="A1194">
        <f t="shared" si="20"/>
        <v>100</v>
      </c>
      <c r="B1194" t="s">
        <v>6</v>
      </c>
      <c r="C1194">
        <f>IF(data!$B1194&lt;&gt;data!$B1193,1,C1193+1)</f>
        <v>5</v>
      </c>
      <c r="D1194">
        <v>16.200000000000003</v>
      </c>
      <c r="E1194" t="s">
        <v>13</v>
      </c>
      <c r="F1194" t="s">
        <v>14</v>
      </c>
      <c r="G1194">
        <v>60</v>
      </c>
    </row>
    <row r="1195" spans="1:7" x14ac:dyDescent="0.2">
      <c r="A1195">
        <f t="shared" si="20"/>
        <v>100</v>
      </c>
      <c r="B1195" t="s">
        <v>6</v>
      </c>
      <c r="C1195">
        <f>IF(data!$B1195&lt;&gt;data!$B1194,1,C1194+1)</f>
        <v>6</v>
      </c>
      <c r="D1195">
        <v>15.000000000000004</v>
      </c>
      <c r="E1195" t="s">
        <v>13</v>
      </c>
      <c r="F1195" t="s">
        <v>14</v>
      </c>
      <c r="G1195">
        <v>60</v>
      </c>
    </row>
    <row r="1196" spans="1:7" x14ac:dyDescent="0.2">
      <c r="A1196">
        <f t="shared" si="20"/>
        <v>100</v>
      </c>
      <c r="B1196" t="s">
        <v>6</v>
      </c>
      <c r="C1196">
        <f>IF(data!$B1196&lt;&gt;data!$B1195,1,C1195+1)</f>
        <v>7</v>
      </c>
      <c r="D1196">
        <v>13.800000000000004</v>
      </c>
      <c r="E1196" t="s">
        <v>13</v>
      </c>
      <c r="F1196" t="s">
        <v>14</v>
      </c>
      <c r="G1196">
        <v>60</v>
      </c>
    </row>
    <row r="1197" spans="1:7" x14ac:dyDescent="0.2">
      <c r="A1197">
        <f t="shared" si="20"/>
        <v>100</v>
      </c>
      <c r="B1197" t="s">
        <v>6</v>
      </c>
      <c r="C1197">
        <f>IF(data!$B1197&lt;&gt;data!$B1196,1,C1196+1)</f>
        <v>8</v>
      </c>
      <c r="D1197">
        <v>12.600000000000005</v>
      </c>
      <c r="E1197" t="s">
        <v>13</v>
      </c>
      <c r="F1197" t="s">
        <v>14</v>
      </c>
      <c r="G1197">
        <v>60</v>
      </c>
    </row>
    <row r="1198" spans="1:7" x14ac:dyDescent="0.2">
      <c r="A1198">
        <f t="shared" si="20"/>
        <v>100</v>
      </c>
      <c r="B1198" t="s">
        <v>6</v>
      </c>
      <c r="C1198">
        <f>IF(data!$B1198&lt;&gt;data!$B1197,1,C1197+1)</f>
        <v>9</v>
      </c>
      <c r="D1198">
        <v>11.400000000000006</v>
      </c>
      <c r="E1198" t="s">
        <v>13</v>
      </c>
      <c r="F1198" t="s">
        <v>14</v>
      </c>
      <c r="G1198">
        <v>60</v>
      </c>
    </row>
    <row r="1199" spans="1:7" x14ac:dyDescent="0.2">
      <c r="A1199">
        <f t="shared" si="20"/>
        <v>100</v>
      </c>
      <c r="B1199" t="s">
        <v>6</v>
      </c>
      <c r="C1199">
        <f>IF(data!$B1199&lt;&gt;data!$B1198,1,C1198+1)</f>
        <v>10</v>
      </c>
      <c r="D1199">
        <v>10.200000000000006</v>
      </c>
      <c r="E1199" t="s">
        <v>13</v>
      </c>
      <c r="F1199" t="s">
        <v>14</v>
      </c>
      <c r="G1199">
        <v>60</v>
      </c>
    </row>
    <row r="1200" spans="1:7" x14ac:dyDescent="0.2">
      <c r="A1200">
        <f t="shared" si="20"/>
        <v>100</v>
      </c>
      <c r="B1200" t="s">
        <v>6</v>
      </c>
      <c r="C1200">
        <f>IF(data!$B1200&lt;&gt;data!$B1199,1,C1199+1)</f>
        <v>11</v>
      </c>
      <c r="D1200">
        <v>9.0000000000000071</v>
      </c>
      <c r="E1200" t="s">
        <v>13</v>
      </c>
      <c r="F1200" t="s">
        <v>14</v>
      </c>
      <c r="G1200">
        <v>60</v>
      </c>
    </row>
    <row r="1201" spans="1:7" x14ac:dyDescent="0.2">
      <c r="A1201">
        <f t="shared" si="20"/>
        <v>100</v>
      </c>
      <c r="B1201" t="s">
        <v>6</v>
      </c>
      <c r="C1201">
        <f>IF(data!$B1201&lt;&gt;data!$B1200,1,C1200+1)</f>
        <v>12</v>
      </c>
      <c r="D1201">
        <v>7.8000000000000069</v>
      </c>
      <c r="E1201" t="s">
        <v>13</v>
      </c>
      <c r="F1201" t="s">
        <v>14</v>
      </c>
      <c r="G1201">
        <v>60</v>
      </c>
    </row>
    <row r="1202" spans="1:7" x14ac:dyDescent="0.2">
      <c r="A1202">
        <f t="shared" si="20"/>
        <v>101</v>
      </c>
      <c r="B1202" t="s">
        <v>5</v>
      </c>
      <c r="C1202">
        <f>IF(data!$B1202&lt;&gt;data!$B1201,1,C1201+1)</f>
        <v>1</v>
      </c>
      <c r="D1202">
        <v>18</v>
      </c>
      <c r="E1202" t="s">
        <v>7</v>
      </c>
      <c r="F1202" t="s">
        <v>12</v>
      </c>
      <c r="G1202">
        <v>60</v>
      </c>
    </row>
    <row r="1203" spans="1:7" x14ac:dyDescent="0.2">
      <c r="A1203">
        <f t="shared" si="20"/>
        <v>101</v>
      </c>
      <c r="B1203" t="s">
        <v>5</v>
      </c>
      <c r="C1203">
        <f>IF(data!$B1203&lt;&gt;data!$B1202,1,C1202+1)</f>
        <v>2</v>
      </c>
      <c r="D1203">
        <v>16.698970004336019</v>
      </c>
      <c r="E1203" t="s">
        <v>7</v>
      </c>
      <c r="F1203" t="s">
        <v>12</v>
      </c>
      <c r="G1203">
        <v>60</v>
      </c>
    </row>
    <row r="1204" spans="1:7" x14ac:dyDescent="0.2">
      <c r="A1204">
        <f t="shared" si="20"/>
        <v>101</v>
      </c>
      <c r="B1204" t="s">
        <v>5</v>
      </c>
      <c r="C1204">
        <f>IF(data!$B1204&lt;&gt;data!$B1203,1,C1203+1)</f>
        <v>3</v>
      </c>
      <c r="D1204">
        <v>15.522878745280337</v>
      </c>
      <c r="E1204" t="s">
        <v>7</v>
      </c>
      <c r="F1204" t="s">
        <v>12</v>
      </c>
      <c r="G1204">
        <v>60</v>
      </c>
    </row>
    <row r="1205" spans="1:7" x14ac:dyDescent="0.2">
      <c r="A1205">
        <f t="shared" si="20"/>
        <v>101</v>
      </c>
      <c r="B1205" t="s">
        <v>5</v>
      </c>
      <c r="C1205">
        <f>IF(data!$B1205&lt;&gt;data!$B1204,1,C1204+1)</f>
        <v>4</v>
      </c>
      <c r="D1205">
        <v>14.397940008672037</v>
      </c>
      <c r="E1205" t="s">
        <v>7</v>
      </c>
      <c r="F1205" t="s">
        <v>12</v>
      </c>
      <c r="G1205">
        <v>60</v>
      </c>
    </row>
    <row r="1206" spans="1:7" x14ac:dyDescent="0.2">
      <c r="A1206">
        <f t="shared" si="20"/>
        <v>101</v>
      </c>
      <c r="B1206" t="s">
        <v>5</v>
      </c>
      <c r="C1206">
        <f>IF(data!$B1206&lt;&gt;data!$B1205,1,C1205+1)</f>
        <v>5</v>
      </c>
      <c r="D1206">
        <v>13.301029995663981</v>
      </c>
      <c r="E1206" t="s">
        <v>7</v>
      </c>
      <c r="F1206" t="s">
        <v>12</v>
      </c>
      <c r="G1206">
        <v>60</v>
      </c>
    </row>
    <row r="1207" spans="1:7" x14ac:dyDescent="0.2">
      <c r="A1207">
        <f t="shared" si="20"/>
        <v>101</v>
      </c>
      <c r="B1207" t="s">
        <v>5</v>
      </c>
      <c r="C1207">
        <f>IF(data!$B1207&lt;&gt;data!$B1206,1,C1206+1)</f>
        <v>6</v>
      </c>
      <c r="D1207">
        <v>12.221848749616356</v>
      </c>
      <c r="E1207" t="s">
        <v>7</v>
      </c>
      <c r="F1207" t="s">
        <v>12</v>
      </c>
      <c r="G1207">
        <v>60</v>
      </c>
    </row>
    <row r="1208" spans="1:7" x14ac:dyDescent="0.2">
      <c r="A1208">
        <f t="shared" si="20"/>
        <v>101</v>
      </c>
      <c r="B1208" t="s">
        <v>5</v>
      </c>
      <c r="C1208">
        <f>IF(data!$B1208&lt;&gt;data!$B1207,1,C1207+1)</f>
        <v>7</v>
      </c>
      <c r="D1208">
        <v>11.154901959985743</v>
      </c>
      <c r="E1208" t="s">
        <v>7</v>
      </c>
      <c r="F1208" t="s">
        <v>12</v>
      </c>
      <c r="G1208">
        <v>60</v>
      </c>
    </row>
    <row r="1209" spans="1:7" x14ac:dyDescent="0.2">
      <c r="A1209">
        <f t="shared" si="20"/>
        <v>101</v>
      </c>
      <c r="B1209" t="s">
        <v>5</v>
      </c>
      <c r="C1209">
        <f>IF(data!$B1209&lt;&gt;data!$B1208,1,C1208+1)</f>
        <v>8</v>
      </c>
      <c r="D1209">
        <v>10.096910013008056</v>
      </c>
      <c r="E1209" t="s">
        <v>7</v>
      </c>
      <c r="F1209" t="s">
        <v>12</v>
      </c>
      <c r="G1209">
        <v>60</v>
      </c>
    </row>
    <row r="1210" spans="1:7" x14ac:dyDescent="0.2">
      <c r="A1210">
        <f t="shared" si="20"/>
        <v>101</v>
      </c>
      <c r="B1210" t="s">
        <v>5</v>
      </c>
      <c r="C1210">
        <f>IF(data!$B1210&lt;&gt;data!$B1209,1,C1209+1)</f>
        <v>9</v>
      </c>
      <c r="D1210">
        <v>9.0457574905606748</v>
      </c>
      <c r="E1210" t="s">
        <v>7</v>
      </c>
      <c r="F1210" t="s">
        <v>12</v>
      </c>
      <c r="G1210">
        <v>60</v>
      </c>
    </row>
    <row r="1211" spans="1:7" x14ac:dyDescent="0.2">
      <c r="A1211">
        <f t="shared" si="20"/>
        <v>101</v>
      </c>
      <c r="B1211" t="s">
        <v>5</v>
      </c>
      <c r="C1211">
        <f>IF(data!$B1211&lt;&gt;data!$B1210,1,C1210+1)</f>
        <v>10</v>
      </c>
      <c r="D1211">
        <v>8</v>
      </c>
      <c r="E1211" t="s">
        <v>7</v>
      </c>
      <c r="F1211" t="s">
        <v>12</v>
      </c>
      <c r="G1211">
        <v>60</v>
      </c>
    </row>
    <row r="1212" spans="1:7" x14ac:dyDescent="0.2">
      <c r="A1212">
        <f t="shared" si="20"/>
        <v>101</v>
      </c>
      <c r="B1212" t="s">
        <v>5</v>
      </c>
      <c r="C1212">
        <f>IF(data!$B1212&lt;&gt;data!$B1211,1,C1211+1)</f>
        <v>11</v>
      </c>
      <c r="D1212">
        <v>6.9586073148417746</v>
      </c>
      <c r="E1212" t="s">
        <v>7</v>
      </c>
      <c r="F1212" t="s">
        <v>12</v>
      </c>
      <c r="G1212">
        <v>60</v>
      </c>
    </row>
    <row r="1213" spans="1:7" x14ac:dyDescent="0.2">
      <c r="A1213">
        <f t="shared" si="20"/>
        <v>101</v>
      </c>
      <c r="B1213" t="s">
        <v>5</v>
      </c>
      <c r="C1213">
        <f>IF(data!$B1213&lt;&gt;data!$B1212,1,C1212+1)</f>
        <v>12</v>
      </c>
      <c r="D1213">
        <v>5.9208187539523749</v>
      </c>
      <c r="E1213" t="s">
        <v>7</v>
      </c>
      <c r="F1213" t="s">
        <v>12</v>
      </c>
      <c r="G1213">
        <v>60</v>
      </c>
    </row>
    <row r="1214" spans="1:7" x14ac:dyDescent="0.2">
      <c r="A1214">
        <f t="shared" si="20"/>
        <v>102</v>
      </c>
      <c r="B1214" t="s">
        <v>6</v>
      </c>
      <c r="C1214">
        <f>IF(data!$B1214&lt;&gt;data!$B1213,1,C1213+1)</f>
        <v>1</v>
      </c>
      <c r="D1214">
        <v>20</v>
      </c>
      <c r="E1214" t="s">
        <v>7</v>
      </c>
      <c r="F1214" t="s">
        <v>12</v>
      </c>
      <c r="G1214">
        <v>60</v>
      </c>
    </row>
    <row r="1215" spans="1:7" x14ac:dyDescent="0.2">
      <c r="A1215">
        <f t="shared" si="20"/>
        <v>102</v>
      </c>
      <c r="B1215" t="s">
        <v>6</v>
      </c>
      <c r="C1215">
        <f>IF(data!$B1215&lt;&gt;data!$B1214,1,C1214+1)</f>
        <v>2</v>
      </c>
      <c r="D1215">
        <v>18.198970004336019</v>
      </c>
      <c r="E1215" t="s">
        <v>7</v>
      </c>
      <c r="F1215" t="s">
        <v>12</v>
      </c>
      <c r="G1215">
        <v>60</v>
      </c>
    </row>
    <row r="1216" spans="1:7" x14ac:dyDescent="0.2">
      <c r="A1216">
        <f t="shared" si="20"/>
        <v>102</v>
      </c>
      <c r="B1216" t="s">
        <v>6</v>
      </c>
      <c r="C1216">
        <f>IF(data!$B1216&lt;&gt;data!$B1215,1,C1215+1)</f>
        <v>3</v>
      </c>
      <c r="D1216">
        <v>16.522878745280337</v>
      </c>
      <c r="E1216" t="s">
        <v>7</v>
      </c>
      <c r="F1216" t="s">
        <v>12</v>
      </c>
      <c r="G1216">
        <v>60</v>
      </c>
    </row>
    <row r="1217" spans="1:7" x14ac:dyDescent="0.2">
      <c r="A1217">
        <f t="shared" si="20"/>
        <v>102</v>
      </c>
      <c r="B1217" t="s">
        <v>6</v>
      </c>
      <c r="C1217">
        <f>IF(data!$B1217&lt;&gt;data!$B1216,1,C1216+1)</f>
        <v>4</v>
      </c>
      <c r="D1217">
        <v>14.897940008672037</v>
      </c>
      <c r="E1217" t="s">
        <v>7</v>
      </c>
      <c r="F1217" t="s">
        <v>12</v>
      </c>
      <c r="G1217">
        <v>60</v>
      </c>
    </row>
    <row r="1218" spans="1:7" x14ac:dyDescent="0.2">
      <c r="A1218">
        <f t="shared" si="20"/>
        <v>102</v>
      </c>
      <c r="B1218" t="s">
        <v>6</v>
      </c>
      <c r="C1218">
        <f>IF(data!$B1218&lt;&gt;data!$B1217,1,C1217+1)</f>
        <v>5</v>
      </c>
      <c r="D1218">
        <v>13.301029995663981</v>
      </c>
      <c r="E1218" t="s">
        <v>7</v>
      </c>
      <c r="F1218" t="s">
        <v>12</v>
      </c>
      <c r="G1218">
        <v>60</v>
      </c>
    </row>
    <row r="1219" spans="1:7" x14ac:dyDescent="0.2">
      <c r="A1219">
        <f t="shared" si="20"/>
        <v>102</v>
      </c>
      <c r="B1219" t="s">
        <v>6</v>
      </c>
      <c r="C1219">
        <f>IF(data!$B1219&lt;&gt;data!$B1218,1,C1218+1)</f>
        <v>6</v>
      </c>
      <c r="D1219">
        <v>11.721848749616356</v>
      </c>
      <c r="E1219" t="s">
        <v>7</v>
      </c>
      <c r="F1219" t="s">
        <v>12</v>
      </c>
      <c r="G1219">
        <v>60</v>
      </c>
    </row>
    <row r="1220" spans="1:7" x14ac:dyDescent="0.2">
      <c r="A1220">
        <f t="shared" si="20"/>
        <v>102</v>
      </c>
      <c r="B1220" t="s">
        <v>6</v>
      </c>
      <c r="C1220">
        <f>IF(data!$B1220&lt;&gt;data!$B1219,1,C1219+1)</f>
        <v>7</v>
      </c>
      <c r="D1220">
        <v>10.154901959985743</v>
      </c>
      <c r="E1220" t="s">
        <v>7</v>
      </c>
      <c r="F1220" t="s">
        <v>12</v>
      </c>
      <c r="G1220">
        <v>60</v>
      </c>
    </row>
    <row r="1221" spans="1:7" x14ac:dyDescent="0.2">
      <c r="A1221">
        <f t="shared" si="20"/>
        <v>102</v>
      </c>
      <c r="B1221" t="s">
        <v>6</v>
      </c>
      <c r="C1221">
        <f>IF(data!$B1221&lt;&gt;data!$B1220,1,C1220+1)</f>
        <v>8</v>
      </c>
      <c r="D1221">
        <v>8.5969100130080562</v>
      </c>
      <c r="E1221" t="s">
        <v>7</v>
      </c>
      <c r="F1221" t="s">
        <v>12</v>
      </c>
      <c r="G1221">
        <v>60</v>
      </c>
    </row>
    <row r="1222" spans="1:7" x14ac:dyDescent="0.2">
      <c r="A1222">
        <f t="shared" si="20"/>
        <v>102</v>
      </c>
      <c r="B1222" t="s">
        <v>6</v>
      </c>
      <c r="C1222">
        <f>IF(data!$B1222&lt;&gt;data!$B1221,1,C1221+1)</f>
        <v>9</v>
      </c>
      <c r="D1222">
        <v>7.0457574905606748</v>
      </c>
      <c r="E1222" t="s">
        <v>7</v>
      </c>
      <c r="F1222" t="s">
        <v>12</v>
      </c>
      <c r="G1222">
        <v>60</v>
      </c>
    </row>
    <row r="1223" spans="1:7" x14ac:dyDescent="0.2">
      <c r="A1223">
        <f t="shared" si="20"/>
        <v>102</v>
      </c>
      <c r="B1223" t="s">
        <v>6</v>
      </c>
      <c r="C1223">
        <f>IF(data!$B1223&lt;&gt;data!$B1222,1,C1222+1)</f>
        <v>10</v>
      </c>
      <c r="D1223">
        <v>5.5</v>
      </c>
      <c r="E1223" t="s">
        <v>7</v>
      </c>
      <c r="F1223" t="s">
        <v>12</v>
      </c>
      <c r="G1223">
        <v>60</v>
      </c>
    </row>
    <row r="1224" spans="1:7" x14ac:dyDescent="0.2">
      <c r="A1224">
        <f t="shared" si="20"/>
        <v>102</v>
      </c>
      <c r="B1224" t="s">
        <v>6</v>
      </c>
      <c r="C1224">
        <f>IF(data!$B1224&lt;&gt;data!$B1223,1,C1223+1)</f>
        <v>11</v>
      </c>
      <c r="D1224">
        <v>3.9586073148417746</v>
      </c>
      <c r="E1224" t="s">
        <v>7</v>
      </c>
      <c r="F1224" t="s">
        <v>12</v>
      </c>
      <c r="G1224">
        <v>60</v>
      </c>
    </row>
    <row r="1225" spans="1:7" x14ac:dyDescent="0.2">
      <c r="A1225">
        <f t="shared" si="20"/>
        <v>102</v>
      </c>
      <c r="B1225" t="s">
        <v>6</v>
      </c>
      <c r="C1225">
        <f>IF(data!$B1225&lt;&gt;data!$B1224,1,C1224+1)</f>
        <v>12</v>
      </c>
      <c r="D1225">
        <v>2.4208187539523749</v>
      </c>
      <c r="E1225" t="s">
        <v>7</v>
      </c>
      <c r="F1225" t="s">
        <v>12</v>
      </c>
      <c r="G1225">
        <v>60</v>
      </c>
    </row>
    <row r="1226" spans="1:7" x14ac:dyDescent="0.2">
      <c r="A1226">
        <f t="shared" si="20"/>
        <v>103</v>
      </c>
      <c r="B1226" t="s">
        <v>5</v>
      </c>
      <c r="C1226">
        <f>IF(data!$B1226&lt;&gt;data!$B1225,1,C1225+1)</f>
        <v>1</v>
      </c>
      <c r="D1226">
        <v>19</v>
      </c>
      <c r="E1226" t="s">
        <v>13</v>
      </c>
      <c r="F1226" t="s">
        <v>12</v>
      </c>
      <c r="G1226">
        <v>60</v>
      </c>
    </row>
    <row r="1227" spans="1:7" x14ac:dyDescent="0.2">
      <c r="A1227">
        <f t="shared" si="20"/>
        <v>103</v>
      </c>
      <c r="B1227" t="s">
        <v>5</v>
      </c>
      <c r="C1227">
        <f>IF(data!$B1227&lt;&gt;data!$B1226,1,C1226+1)</f>
        <v>2</v>
      </c>
      <c r="D1227">
        <v>18.198970004336019</v>
      </c>
      <c r="E1227" t="s">
        <v>13</v>
      </c>
      <c r="F1227" t="s">
        <v>12</v>
      </c>
      <c r="G1227">
        <v>60</v>
      </c>
    </row>
    <row r="1228" spans="1:7" x14ac:dyDescent="0.2">
      <c r="A1228">
        <f t="shared" si="20"/>
        <v>103</v>
      </c>
      <c r="B1228" t="s">
        <v>5</v>
      </c>
      <c r="C1228">
        <f>IF(data!$B1228&lt;&gt;data!$B1227,1,C1227+1)</f>
        <v>3</v>
      </c>
      <c r="D1228">
        <v>17.522878745280337</v>
      </c>
      <c r="E1228" t="s">
        <v>13</v>
      </c>
      <c r="F1228" t="s">
        <v>12</v>
      </c>
      <c r="G1228">
        <v>60</v>
      </c>
    </row>
    <row r="1229" spans="1:7" x14ac:dyDescent="0.2">
      <c r="A1229">
        <f t="shared" si="20"/>
        <v>103</v>
      </c>
      <c r="B1229" t="s">
        <v>5</v>
      </c>
      <c r="C1229">
        <f>IF(data!$B1229&lt;&gt;data!$B1228,1,C1228+1)</f>
        <v>4</v>
      </c>
      <c r="D1229">
        <v>16.897940008672037</v>
      </c>
      <c r="E1229" t="s">
        <v>13</v>
      </c>
      <c r="F1229" t="s">
        <v>12</v>
      </c>
      <c r="G1229">
        <v>60</v>
      </c>
    </row>
    <row r="1230" spans="1:7" x14ac:dyDescent="0.2">
      <c r="A1230">
        <f t="shared" si="20"/>
        <v>103</v>
      </c>
      <c r="B1230" t="s">
        <v>5</v>
      </c>
      <c r="C1230">
        <f>IF(data!$B1230&lt;&gt;data!$B1229,1,C1229+1)</f>
        <v>5</v>
      </c>
      <c r="D1230">
        <v>16.301029995663981</v>
      </c>
      <c r="E1230" t="s">
        <v>13</v>
      </c>
      <c r="F1230" t="s">
        <v>12</v>
      </c>
      <c r="G1230">
        <v>60</v>
      </c>
    </row>
    <row r="1231" spans="1:7" x14ac:dyDescent="0.2">
      <c r="A1231">
        <f t="shared" si="20"/>
        <v>103</v>
      </c>
      <c r="B1231" t="s">
        <v>5</v>
      </c>
      <c r="C1231">
        <f>IF(data!$B1231&lt;&gt;data!$B1230,1,C1230+1)</f>
        <v>6</v>
      </c>
      <c r="D1231">
        <v>15.721848749616356</v>
      </c>
      <c r="E1231" t="s">
        <v>13</v>
      </c>
      <c r="F1231" t="s">
        <v>12</v>
      </c>
      <c r="G1231">
        <v>60</v>
      </c>
    </row>
    <row r="1232" spans="1:7" x14ac:dyDescent="0.2">
      <c r="A1232">
        <f t="shared" si="20"/>
        <v>103</v>
      </c>
      <c r="B1232" t="s">
        <v>5</v>
      </c>
      <c r="C1232">
        <f>IF(data!$B1232&lt;&gt;data!$B1231,1,C1231+1)</f>
        <v>7</v>
      </c>
      <c r="D1232">
        <v>15.154901959985743</v>
      </c>
      <c r="E1232" t="s">
        <v>13</v>
      </c>
      <c r="F1232" t="s">
        <v>12</v>
      </c>
      <c r="G1232">
        <v>60</v>
      </c>
    </row>
    <row r="1233" spans="1:7" x14ac:dyDescent="0.2">
      <c r="A1233">
        <f t="shared" si="20"/>
        <v>103</v>
      </c>
      <c r="B1233" t="s">
        <v>5</v>
      </c>
      <c r="C1233">
        <f>IF(data!$B1233&lt;&gt;data!$B1232,1,C1232+1)</f>
        <v>8</v>
      </c>
      <c r="D1233">
        <v>14.596910013008056</v>
      </c>
      <c r="E1233" t="s">
        <v>13</v>
      </c>
      <c r="F1233" t="s">
        <v>12</v>
      </c>
      <c r="G1233">
        <v>60</v>
      </c>
    </row>
    <row r="1234" spans="1:7" x14ac:dyDescent="0.2">
      <c r="A1234">
        <f t="shared" si="20"/>
        <v>103</v>
      </c>
      <c r="B1234" t="s">
        <v>5</v>
      </c>
      <c r="C1234">
        <f>IF(data!$B1234&lt;&gt;data!$B1233,1,C1233+1)</f>
        <v>9</v>
      </c>
      <c r="D1234">
        <v>14.045757490560675</v>
      </c>
      <c r="E1234" t="s">
        <v>13</v>
      </c>
      <c r="F1234" t="s">
        <v>12</v>
      </c>
      <c r="G1234">
        <v>60</v>
      </c>
    </row>
    <row r="1235" spans="1:7" x14ac:dyDescent="0.2">
      <c r="A1235">
        <f t="shared" si="20"/>
        <v>103</v>
      </c>
      <c r="B1235" t="s">
        <v>5</v>
      </c>
      <c r="C1235">
        <f>IF(data!$B1235&lt;&gt;data!$B1234,1,C1234+1)</f>
        <v>10</v>
      </c>
      <c r="D1235">
        <v>13.5</v>
      </c>
      <c r="E1235" t="s">
        <v>13</v>
      </c>
      <c r="F1235" t="s">
        <v>12</v>
      </c>
      <c r="G1235">
        <v>60</v>
      </c>
    </row>
    <row r="1236" spans="1:7" x14ac:dyDescent="0.2">
      <c r="A1236">
        <f t="shared" si="20"/>
        <v>103</v>
      </c>
      <c r="B1236" t="s">
        <v>5</v>
      </c>
      <c r="C1236">
        <f>IF(data!$B1236&lt;&gt;data!$B1235,1,C1235+1)</f>
        <v>11</v>
      </c>
      <c r="D1236">
        <v>12.958607314841775</v>
      </c>
      <c r="E1236" t="s">
        <v>13</v>
      </c>
      <c r="F1236" t="s">
        <v>12</v>
      </c>
      <c r="G1236">
        <v>60</v>
      </c>
    </row>
    <row r="1237" spans="1:7" x14ac:dyDescent="0.2">
      <c r="A1237">
        <f t="shared" si="20"/>
        <v>103</v>
      </c>
      <c r="B1237" t="s">
        <v>5</v>
      </c>
      <c r="C1237">
        <f>IF(data!$B1237&lt;&gt;data!$B1236,1,C1236+1)</f>
        <v>12</v>
      </c>
      <c r="D1237">
        <v>12.420818753952375</v>
      </c>
      <c r="E1237" t="s">
        <v>13</v>
      </c>
      <c r="F1237" t="s">
        <v>12</v>
      </c>
      <c r="G1237">
        <v>60</v>
      </c>
    </row>
    <row r="1238" spans="1:7" x14ac:dyDescent="0.2">
      <c r="A1238">
        <f t="shared" si="20"/>
        <v>104</v>
      </c>
      <c r="B1238" t="s">
        <v>6</v>
      </c>
      <c r="C1238">
        <f>IF(data!$B1238&lt;&gt;data!$B1237,1,C1237+1)</f>
        <v>1</v>
      </c>
      <c r="D1238">
        <v>21</v>
      </c>
      <c r="E1238" t="s">
        <v>13</v>
      </c>
      <c r="F1238" t="s">
        <v>12</v>
      </c>
      <c r="G1238">
        <v>60</v>
      </c>
    </row>
    <row r="1239" spans="1:7" x14ac:dyDescent="0.2">
      <c r="A1239">
        <f t="shared" si="20"/>
        <v>104</v>
      </c>
      <c r="B1239" t="s">
        <v>6</v>
      </c>
      <c r="C1239">
        <f>IF(data!$B1239&lt;&gt;data!$B1238,1,C1238+1)</f>
        <v>2</v>
      </c>
      <c r="D1239">
        <v>19.498970004336019</v>
      </c>
      <c r="E1239" t="s">
        <v>13</v>
      </c>
      <c r="F1239" t="s">
        <v>12</v>
      </c>
      <c r="G1239">
        <v>60</v>
      </c>
    </row>
    <row r="1240" spans="1:7" x14ac:dyDescent="0.2">
      <c r="A1240">
        <f t="shared" si="20"/>
        <v>104</v>
      </c>
      <c r="B1240" t="s">
        <v>6</v>
      </c>
      <c r="C1240">
        <f>IF(data!$B1240&lt;&gt;data!$B1239,1,C1239+1)</f>
        <v>3</v>
      </c>
      <c r="D1240">
        <v>18.122878745280339</v>
      </c>
      <c r="E1240" t="s">
        <v>13</v>
      </c>
      <c r="F1240" t="s">
        <v>12</v>
      </c>
      <c r="G1240">
        <v>60</v>
      </c>
    </row>
    <row r="1241" spans="1:7" x14ac:dyDescent="0.2">
      <c r="A1241">
        <f t="shared" si="20"/>
        <v>104</v>
      </c>
      <c r="B1241" t="s">
        <v>6</v>
      </c>
      <c r="C1241">
        <f>IF(data!$B1241&lt;&gt;data!$B1240,1,C1240+1)</f>
        <v>4</v>
      </c>
      <c r="D1241">
        <v>16.79794000867204</v>
      </c>
      <c r="E1241" t="s">
        <v>13</v>
      </c>
      <c r="F1241" t="s">
        <v>12</v>
      </c>
      <c r="G1241">
        <v>60</v>
      </c>
    </row>
    <row r="1242" spans="1:7" x14ac:dyDescent="0.2">
      <c r="A1242">
        <f t="shared" si="20"/>
        <v>104</v>
      </c>
      <c r="B1242" t="s">
        <v>6</v>
      </c>
      <c r="C1242">
        <f>IF(data!$B1242&lt;&gt;data!$B1241,1,C1241+1)</f>
        <v>5</v>
      </c>
      <c r="D1242">
        <v>15.501029995663984</v>
      </c>
      <c r="E1242" t="s">
        <v>13</v>
      </c>
      <c r="F1242" t="s">
        <v>12</v>
      </c>
      <c r="G1242">
        <v>60</v>
      </c>
    </row>
    <row r="1243" spans="1:7" x14ac:dyDescent="0.2">
      <c r="A1243">
        <f t="shared" si="20"/>
        <v>104</v>
      </c>
      <c r="B1243" t="s">
        <v>6</v>
      </c>
      <c r="C1243">
        <f>IF(data!$B1243&lt;&gt;data!$B1242,1,C1242+1)</f>
        <v>6</v>
      </c>
      <c r="D1243">
        <v>14.22184874961636</v>
      </c>
      <c r="E1243" t="s">
        <v>13</v>
      </c>
      <c r="F1243" t="s">
        <v>12</v>
      </c>
      <c r="G1243">
        <v>60</v>
      </c>
    </row>
    <row r="1244" spans="1:7" x14ac:dyDescent="0.2">
      <c r="A1244">
        <f t="shared" si="20"/>
        <v>104</v>
      </c>
      <c r="B1244" t="s">
        <v>6</v>
      </c>
      <c r="C1244">
        <f>IF(data!$B1244&lt;&gt;data!$B1243,1,C1243+1)</f>
        <v>7</v>
      </c>
      <c r="D1244">
        <v>12.954901959985747</v>
      </c>
      <c r="E1244" t="s">
        <v>13</v>
      </c>
      <c r="F1244" t="s">
        <v>12</v>
      </c>
      <c r="G1244">
        <v>60</v>
      </c>
    </row>
    <row r="1245" spans="1:7" x14ac:dyDescent="0.2">
      <c r="A1245">
        <f t="shared" si="20"/>
        <v>104</v>
      </c>
      <c r="B1245" t="s">
        <v>6</v>
      </c>
      <c r="C1245">
        <f>IF(data!$B1245&lt;&gt;data!$B1244,1,C1244+1)</f>
        <v>8</v>
      </c>
      <c r="D1245">
        <v>11.696910013008061</v>
      </c>
      <c r="E1245" t="s">
        <v>13</v>
      </c>
      <c r="F1245" t="s">
        <v>12</v>
      </c>
      <c r="G1245">
        <v>60</v>
      </c>
    </row>
    <row r="1246" spans="1:7" x14ac:dyDescent="0.2">
      <c r="A1246">
        <f t="shared" si="20"/>
        <v>104</v>
      </c>
      <c r="B1246" t="s">
        <v>6</v>
      </c>
      <c r="C1246">
        <f>IF(data!$B1246&lt;&gt;data!$B1245,1,C1245+1)</f>
        <v>9</v>
      </c>
      <c r="D1246">
        <v>10.44575749056068</v>
      </c>
      <c r="E1246" t="s">
        <v>13</v>
      </c>
      <c r="F1246" t="s">
        <v>12</v>
      </c>
      <c r="G1246">
        <v>60</v>
      </c>
    </row>
    <row r="1247" spans="1:7" x14ac:dyDescent="0.2">
      <c r="A1247">
        <f t="shared" si="20"/>
        <v>104</v>
      </c>
      <c r="B1247" t="s">
        <v>6</v>
      </c>
      <c r="C1247">
        <f>IF(data!$B1247&lt;&gt;data!$B1246,1,C1246+1)</f>
        <v>10</v>
      </c>
      <c r="D1247">
        <v>9.2000000000000064</v>
      </c>
      <c r="E1247" t="s">
        <v>13</v>
      </c>
      <c r="F1247" t="s">
        <v>12</v>
      </c>
      <c r="G1247">
        <v>60</v>
      </c>
    </row>
    <row r="1248" spans="1:7" x14ac:dyDescent="0.2">
      <c r="A1248">
        <f t="shared" si="20"/>
        <v>104</v>
      </c>
      <c r="B1248" t="s">
        <v>6</v>
      </c>
      <c r="C1248">
        <f>IF(data!$B1248&lt;&gt;data!$B1247,1,C1247+1)</f>
        <v>11</v>
      </c>
      <c r="D1248">
        <v>7.9586073148417817</v>
      </c>
      <c r="E1248" t="s">
        <v>13</v>
      </c>
      <c r="F1248" t="s">
        <v>12</v>
      </c>
      <c r="G1248">
        <v>60</v>
      </c>
    </row>
    <row r="1249" spans="1:7" x14ac:dyDescent="0.2">
      <c r="A1249">
        <f t="shared" si="20"/>
        <v>104</v>
      </c>
      <c r="B1249" t="s">
        <v>6</v>
      </c>
      <c r="C1249">
        <f>IF(data!$B1249&lt;&gt;data!$B1248,1,C1248+1)</f>
        <v>12</v>
      </c>
      <c r="D1249">
        <v>6.7208187539523818</v>
      </c>
      <c r="E1249" t="s">
        <v>13</v>
      </c>
      <c r="F1249" t="s">
        <v>12</v>
      </c>
      <c r="G1249">
        <v>60</v>
      </c>
    </row>
    <row r="1250" spans="1:7" x14ac:dyDescent="0.2">
      <c r="A1250">
        <f t="shared" si="20"/>
        <v>105</v>
      </c>
      <c r="B1250" t="s">
        <v>5</v>
      </c>
      <c r="C1250">
        <f>IF(data!$B1250&lt;&gt;data!$B1249,1,C1249+1)</f>
        <v>1</v>
      </c>
      <c r="D1250">
        <v>16</v>
      </c>
      <c r="E1250" t="s">
        <v>7</v>
      </c>
      <c r="F1250" t="s">
        <v>14</v>
      </c>
      <c r="G1250">
        <v>60</v>
      </c>
    </row>
    <row r="1251" spans="1:7" x14ac:dyDescent="0.2">
      <c r="A1251">
        <f t="shared" ref="A1251:A1314" si="21">IF(B1251=B1250,A1250,A1250+1)</f>
        <v>105</v>
      </c>
      <c r="B1251" t="s">
        <v>5</v>
      </c>
      <c r="C1251">
        <f>IF(data!$B1251&lt;&gt;data!$B1250,1,C1250+1)</f>
        <v>2</v>
      </c>
      <c r="D1251">
        <v>15</v>
      </c>
      <c r="E1251" t="s">
        <v>7</v>
      </c>
      <c r="F1251" t="s">
        <v>14</v>
      </c>
      <c r="G1251">
        <v>60</v>
      </c>
    </row>
    <row r="1252" spans="1:7" x14ac:dyDescent="0.2">
      <c r="A1252">
        <f t="shared" si="21"/>
        <v>105</v>
      </c>
      <c r="B1252" t="s">
        <v>5</v>
      </c>
      <c r="C1252">
        <f>IF(data!$B1252&lt;&gt;data!$B1251,1,C1251+1)</f>
        <v>3</v>
      </c>
      <c r="D1252">
        <v>14</v>
      </c>
      <c r="E1252" t="s">
        <v>7</v>
      </c>
      <c r="F1252" t="s">
        <v>14</v>
      </c>
      <c r="G1252">
        <v>60</v>
      </c>
    </row>
    <row r="1253" spans="1:7" x14ac:dyDescent="0.2">
      <c r="A1253">
        <f t="shared" si="21"/>
        <v>105</v>
      </c>
      <c r="B1253" t="s">
        <v>5</v>
      </c>
      <c r="C1253">
        <f>IF(data!$B1253&lt;&gt;data!$B1252,1,C1252+1)</f>
        <v>4</v>
      </c>
      <c r="D1253">
        <v>13</v>
      </c>
      <c r="E1253" t="s">
        <v>7</v>
      </c>
      <c r="F1253" t="s">
        <v>14</v>
      </c>
      <c r="G1253">
        <v>60</v>
      </c>
    </row>
    <row r="1254" spans="1:7" x14ac:dyDescent="0.2">
      <c r="A1254">
        <f t="shared" si="21"/>
        <v>105</v>
      </c>
      <c r="B1254" t="s">
        <v>5</v>
      </c>
      <c r="C1254">
        <f>IF(data!$B1254&lt;&gt;data!$B1253,1,C1253+1)</f>
        <v>5</v>
      </c>
      <c r="D1254">
        <v>12</v>
      </c>
      <c r="E1254" t="s">
        <v>7</v>
      </c>
      <c r="F1254" t="s">
        <v>14</v>
      </c>
      <c r="G1254">
        <v>60</v>
      </c>
    </row>
    <row r="1255" spans="1:7" x14ac:dyDescent="0.2">
      <c r="A1255">
        <f t="shared" si="21"/>
        <v>105</v>
      </c>
      <c r="B1255" t="s">
        <v>5</v>
      </c>
      <c r="C1255">
        <f>IF(data!$B1255&lt;&gt;data!$B1254,1,C1254+1)</f>
        <v>6</v>
      </c>
      <c r="D1255">
        <v>11</v>
      </c>
      <c r="E1255" t="s">
        <v>7</v>
      </c>
      <c r="F1255" t="s">
        <v>14</v>
      </c>
      <c r="G1255">
        <v>60</v>
      </c>
    </row>
    <row r="1256" spans="1:7" x14ac:dyDescent="0.2">
      <c r="A1256">
        <f t="shared" si="21"/>
        <v>105</v>
      </c>
      <c r="B1256" t="s">
        <v>5</v>
      </c>
      <c r="C1256">
        <f>IF(data!$B1256&lt;&gt;data!$B1255,1,C1255+1)</f>
        <v>7</v>
      </c>
      <c r="D1256">
        <v>10</v>
      </c>
      <c r="E1256" t="s">
        <v>7</v>
      </c>
      <c r="F1256" t="s">
        <v>14</v>
      </c>
      <c r="G1256">
        <v>60</v>
      </c>
    </row>
    <row r="1257" spans="1:7" x14ac:dyDescent="0.2">
      <c r="A1257">
        <f t="shared" si="21"/>
        <v>105</v>
      </c>
      <c r="B1257" t="s">
        <v>5</v>
      </c>
      <c r="C1257">
        <f>IF(data!$B1257&lt;&gt;data!$B1256,1,C1256+1)</f>
        <v>8</v>
      </c>
      <c r="D1257">
        <v>9</v>
      </c>
      <c r="E1257" t="s">
        <v>7</v>
      </c>
      <c r="F1257" t="s">
        <v>14</v>
      </c>
      <c r="G1257">
        <v>60</v>
      </c>
    </row>
    <row r="1258" spans="1:7" x14ac:dyDescent="0.2">
      <c r="A1258">
        <f t="shared" si="21"/>
        <v>105</v>
      </c>
      <c r="B1258" t="s">
        <v>5</v>
      </c>
      <c r="C1258">
        <f>IF(data!$B1258&lt;&gt;data!$B1257,1,C1257+1)</f>
        <v>9</v>
      </c>
      <c r="D1258">
        <v>8</v>
      </c>
      <c r="E1258" t="s">
        <v>7</v>
      </c>
      <c r="F1258" t="s">
        <v>14</v>
      </c>
      <c r="G1258">
        <v>60</v>
      </c>
    </row>
    <row r="1259" spans="1:7" x14ac:dyDescent="0.2">
      <c r="A1259">
        <f t="shared" si="21"/>
        <v>105</v>
      </c>
      <c r="B1259" t="s">
        <v>5</v>
      </c>
      <c r="C1259">
        <f>IF(data!$B1259&lt;&gt;data!$B1258,1,C1258+1)</f>
        <v>10</v>
      </c>
      <c r="D1259">
        <v>7</v>
      </c>
      <c r="E1259" t="s">
        <v>7</v>
      </c>
      <c r="F1259" t="s">
        <v>14</v>
      </c>
      <c r="G1259">
        <v>60</v>
      </c>
    </row>
    <row r="1260" spans="1:7" x14ac:dyDescent="0.2">
      <c r="A1260">
        <f t="shared" si="21"/>
        <v>105</v>
      </c>
      <c r="B1260" t="s">
        <v>5</v>
      </c>
      <c r="C1260">
        <f>IF(data!$B1260&lt;&gt;data!$B1259,1,C1259+1)</f>
        <v>11</v>
      </c>
      <c r="D1260">
        <v>6</v>
      </c>
      <c r="E1260" t="s">
        <v>7</v>
      </c>
      <c r="F1260" t="s">
        <v>14</v>
      </c>
      <c r="G1260">
        <v>60</v>
      </c>
    </row>
    <row r="1261" spans="1:7" x14ac:dyDescent="0.2">
      <c r="A1261">
        <f t="shared" si="21"/>
        <v>105</v>
      </c>
      <c r="B1261" t="s">
        <v>5</v>
      </c>
      <c r="C1261">
        <f>IF(data!$B1261&lt;&gt;data!$B1260,1,C1260+1)</f>
        <v>12</v>
      </c>
      <c r="D1261">
        <v>5</v>
      </c>
      <c r="E1261" t="s">
        <v>7</v>
      </c>
      <c r="F1261" t="s">
        <v>14</v>
      </c>
      <c r="G1261">
        <v>60</v>
      </c>
    </row>
    <row r="1262" spans="1:7" x14ac:dyDescent="0.2">
      <c r="A1262">
        <f t="shared" si="21"/>
        <v>106</v>
      </c>
      <c r="B1262" t="s">
        <v>6</v>
      </c>
      <c r="C1262">
        <f>IF(data!$B1262&lt;&gt;data!$B1261,1,C1261+1)</f>
        <v>1</v>
      </c>
      <c r="D1262">
        <v>18</v>
      </c>
      <c r="E1262" t="s">
        <v>7</v>
      </c>
      <c r="F1262" t="s">
        <v>14</v>
      </c>
      <c r="G1262">
        <v>60</v>
      </c>
    </row>
    <row r="1263" spans="1:7" x14ac:dyDescent="0.2">
      <c r="A1263">
        <f t="shared" si="21"/>
        <v>106</v>
      </c>
      <c r="B1263" t="s">
        <v>6</v>
      </c>
      <c r="C1263">
        <f>IF(data!$B1263&lt;&gt;data!$B1262,1,C1262+1)</f>
        <v>2</v>
      </c>
      <c r="D1263">
        <v>16.5</v>
      </c>
      <c r="E1263" t="s">
        <v>7</v>
      </c>
      <c r="F1263" t="s">
        <v>14</v>
      </c>
      <c r="G1263">
        <v>60</v>
      </c>
    </row>
    <row r="1264" spans="1:7" x14ac:dyDescent="0.2">
      <c r="A1264">
        <f t="shared" si="21"/>
        <v>106</v>
      </c>
      <c r="B1264" t="s">
        <v>6</v>
      </c>
      <c r="C1264">
        <f>IF(data!$B1264&lt;&gt;data!$B1263,1,C1263+1)</f>
        <v>3</v>
      </c>
      <c r="D1264">
        <v>15</v>
      </c>
      <c r="E1264" t="s">
        <v>7</v>
      </c>
      <c r="F1264" t="s">
        <v>14</v>
      </c>
      <c r="G1264">
        <v>60</v>
      </c>
    </row>
    <row r="1265" spans="1:7" x14ac:dyDescent="0.2">
      <c r="A1265">
        <f t="shared" si="21"/>
        <v>106</v>
      </c>
      <c r="B1265" t="s">
        <v>6</v>
      </c>
      <c r="C1265">
        <f>IF(data!$B1265&lt;&gt;data!$B1264,1,C1264+1)</f>
        <v>4</v>
      </c>
      <c r="D1265">
        <v>13.5</v>
      </c>
      <c r="E1265" t="s">
        <v>7</v>
      </c>
      <c r="F1265" t="s">
        <v>14</v>
      </c>
      <c r="G1265">
        <v>60</v>
      </c>
    </row>
    <row r="1266" spans="1:7" x14ac:dyDescent="0.2">
      <c r="A1266">
        <f t="shared" si="21"/>
        <v>106</v>
      </c>
      <c r="B1266" t="s">
        <v>6</v>
      </c>
      <c r="C1266">
        <f>IF(data!$B1266&lt;&gt;data!$B1265,1,C1265+1)</f>
        <v>5</v>
      </c>
      <c r="D1266">
        <v>12</v>
      </c>
      <c r="E1266" t="s">
        <v>7</v>
      </c>
      <c r="F1266" t="s">
        <v>14</v>
      </c>
      <c r="G1266">
        <v>60</v>
      </c>
    </row>
    <row r="1267" spans="1:7" x14ac:dyDescent="0.2">
      <c r="A1267">
        <f t="shared" si="21"/>
        <v>106</v>
      </c>
      <c r="B1267" t="s">
        <v>6</v>
      </c>
      <c r="C1267">
        <f>IF(data!$B1267&lt;&gt;data!$B1266,1,C1266+1)</f>
        <v>6</v>
      </c>
      <c r="D1267">
        <v>10.5</v>
      </c>
      <c r="E1267" t="s">
        <v>7</v>
      </c>
      <c r="F1267" t="s">
        <v>14</v>
      </c>
      <c r="G1267">
        <v>60</v>
      </c>
    </row>
    <row r="1268" spans="1:7" x14ac:dyDescent="0.2">
      <c r="A1268">
        <f t="shared" si="21"/>
        <v>106</v>
      </c>
      <c r="B1268" t="s">
        <v>6</v>
      </c>
      <c r="C1268">
        <f>IF(data!$B1268&lt;&gt;data!$B1267,1,C1267+1)</f>
        <v>7</v>
      </c>
      <c r="D1268">
        <v>9</v>
      </c>
      <c r="E1268" t="s">
        <v>7</v>
      </c>
      <c r="F1268" t="s">
        <v>14</v>
      </c>
      <c r="G1268">
        <v>60</v>
      </c>
    </row>
    <row r="1269" spans="1:7" x14ac:dyDescent="0.2">
      <c r="A1269">
        <f t="shared" si="21"/>
        <v>106</v>
      </c>
      <c r="B1269" t="s">
        <v>6</v>
      </c>
      <c r="C1269">
        <f>IF(data!$B1269&lt;&gt;data!$B1268,1,C1268+1)</f>
        <v>8</v>
      </c>
      <c r="D1269">
        <v>7.5</v>
      </c>
      <c r="E1269" t="s">
        <v>7</v>
      </c>
      <c r="F1269" t="s">
        <v>14</v>
      </c>
      <c r="G1269">
        <v>60</v>
      </c>
    </row>
    <row r="1270" spans="1:7" x14ac:dyDescent="0.2">
      <c r="A1270">
        <f t="shared" si="21"/>
        <v>106</v>
      </c>
      <c r="B1270" t="s">
        <v>6</v>
      </c>
      <c r="C1270">
        <f>IF(data!$B1270&lt;&gt;data!$B1269,1,C1269+1)</f>
        <v>9</v>
      </c>
      <c r="D1270">
        <v>6</v>
      </c>
      <c r="E1270" t="s">
        <v>7</v>
      </c>
      <c r="F1270" t="s">
        <v>14</v>
      </c>
      <c r="G1270">
        <v>60</v>
      </c>
    </row>
    <row r="1271" spans="1:7" x14ac:dyDescent="0.2">
      <c r="A1271">
        <f t="shared" si="21"/>
        <v>106</v>
      </c>
      <c r="B1271" t="s">
        <v>6</v>
      </c>
      <c r="C1271">
        <f>IF(data!$B1271&lt;&gt;data!$B1270,1,C1270+1)</f>
        <v>10</v>
      </c>
      <c r="D1271">
        <v>4.5</v>
      </c>
      <c r="E1271" t="s">
        <v>7</v>
      </c>
      <c r="F1271" t="s">
        <v>14</v>
      </c>
      <c r="G1271">
        <v>60</v>
      </c>
    </row>
    <row r="1272" spans="1:7" x14ac:dyDescent="0.2">
      <c r="A1272">
        <f t="shared" si="21"/>
        <v>106</v>
      </c>
      <c r="B1272" t="s">
        <v>6</v>
      </c>
      <c r="C1272">
        <f>IF(data!$B1272&lt;&gt;data!$B1271,1,C1271+1)</f>
        <v>11</v>
      </c>
      <c r="D1272">
        <v>3</v>
      </c>
      <c r="E1272" t="s">
        <v>7</v>
      </c>
      <c r="F1272" t="s">
        <v>14</v>
      </c>
      <c r="G1272">
        <v>60</v>
      </c>
    </row>
    <row r="1273" spans="1:7" x14ac:dyDescent="0.2">
      <c r="A1273">
        <f t="shared" si="21"/>
        <v>106</v>
      </c>
      <c r="B1273" t="s">
        <v>6</v>
      </c>
      <c r="C1273">
        <f>IF(data!$B1273&lt;&gt;data!$B1272,1,C1272+1)</f>
        <v>12</v>
      </c>
      <c r="D1273">
        <v>1.5</v>
      </c>
      <c r="E1273" t="s">
        <v>7</v>
      </c>
      <c r="F1273" t="s">
        <v>14</v>
      </c>
      <c r="G1273">
        <v>60</v>
      </c>
    </row>
    <row r="1274" spans="1:7" x14ac:dyDescent="0.2">
      <c r="A1274">
        <f t="shared" si="21"/>
        <v>107</v>
      </c>
      <c r="B1274" t="s">
        <v>5</v>
      </c>
      <c r="C1274">
        <f>IF(data!$B1274&lt;&gt;data!$B1273,1,C1273+1)</f>
        <v>1</v>
      </c>
      <c r="D1274">
        <v>17</v>
      </c>
      <c r="E1274" t="s">
        <v>13</v>
      </c>
      <c r="F1274" t="s">
        <v>14</v>
      </c>
      <c r="G1274">
        <v>60</v>
      </c>
    </row>
    <row r="1275" spans="1:7" x14ac:dyDescent="0.2">
      <c r="A1275">
        <f t="shared" si="21"/>
        <v>107</v>
      </c>
      <c r="B1275" t="s">
        <v>5</v>
      </c>
      <c r="C1275">
        <f>IF(data!$B1275&lt;&gt;data!$B1274,1,C1274+1)</f>
        <v>2</v>
      </c>
      <c r="D1275">
        <v>16.5</v>
      </c>
      <c r="E1275" t="s">
        <v>13</v>
      </c>
      <c r="F1275" t="s">
        <v>14</v>
      </c>
      <c r="G1275">
        <v>60</v>
      </c>
    </row>
    <row r="1276" spans="1:7" x14ac:dyDescent="0.2">
      <c r="A1276">
        <f t="shared" si="21"/>
        <v>107</v>
      </c>
      <c r="B1276" t="s">
        <v>5</v>
      </c>
      <c r="C1276">
        <f>IF(data!$B1276&lt;&gt;data!$B1275,1,C1275+1)</f>
        <v>3</v>
      </c>
      <c r="D1276">
        <v>16</v>
      </c>
      <c r="E1276" t="s">
        <v>13</v>
      </c>
      <c r="F1276" t="s">
        <v>14</v>
      </c>
      <c r="G1276">
        <v>60</v>
      </c>
    </row>
    <row r="1277" spans="1:7" x14ac:dyDescent="0.2">
      <c r="A1277">
        <f t="shared" si="21"/>
        <v>107</v>
      </c>
      <c r="B1277" t="s">
        <v>5</v>
      </c>
      <c r="C1277">
        <f>IF(data!$B1277&lt;&gt;data!$B1276,1,C1276+1)</f>
        <v>4</v>
      </c>
      <c r="D1277">
        <v>15.5</v>
      </c>
      <c r="E1277" t="s">
        <v>13</v>
      </c>
      <c r="F1277" t="s">
        <v>14</v>
      </c>
      <c r="G1277">
        <v>60</v>
      </c>
    </row>
    <row r="1278" spans="1:7" x14ac:dyDescent="0.2">
      <c r="A1278">
        <f t="shared" si="21"/>
        <v>107</v>
      </c>
      <c r="B1278" t="s">
        <v>5</v>
      </c>
      <c r="C1278">
        <f>IF(data!$B1278&lt;&gt;data!$B1277,1,C1277+1)</f>
        <v>5</v>
      </c>
      <c r="D1278">
        <v>15</v>
      </c>
      <c r="E1278" t="s">
        <v>13</v>
      </c>
      <c r="F1278" t="s">
        <v>14</v>
      </c>
      <c r="G1278">
        <v>60</v>
      </c>
    </row>
    <row r="1279" spans="1:7" x14ac:dyDescent="0.2">
      <c r="A1279">
        <f t="shared" si="21"/>
        <v>107</v>
      </c>
      <c r="B1279" t="s">
        <v>5</v>
      </c>
      <c r="C1279">
        <f>IF(data!$B1279&lt;&gt;data!$B1278,1,C1278+1)</f>
        <v>6</v>
      </c>
      <c r="D1279">
        <v>14.5</v>
      </c>
      <c r="E1279" t="s">
        <v>13</v>
      </c>
      <c r="F1279" t="s">
        <v>14</v>
      </c>
      <c r="G1279">
        <v>60</v>
      </c>
    </row>
    <row r="1280" spans="1:7" x14ac:dyDescent="0.2">
      <c r="A1280">
        <f t="shared" si="21"/>
        <v>107</v>
      </c>
      <c r="B1280" t="s">
        <v>5</v>
      </c>
      <c r="C1280">
        <f>IF(data!$B1280&lt;&gt;data!$B1279,1,C1279+1)</f>
        <v>7</v>
      </c>
      <c r="D1280">
        <v>14</v>
      </c>
      <c r="E1280" t="s">
        <v>13</v>
      </c>
      <c r="F1280" t="s">
        <v>14</v>
      </c>
      <c r="G1280">
        <v>60</v>
      </c>
    </row>
    <row r="1281" spans="1:7" x14ac:dyDescent="0.2">
      <c r="A1281">
        <f t="shared" si="21"/>
        <v>107</v>
      </c>
      <c r="B1281" t="s">
        <v>5</v>
      </c>
      <c r="C1281">
        <f>IF(data!$B1281&lt;&gt;data!$B1280,1,C1280+1)</f>
        <v>8</v>
      </c>
      <c r="D1281">
        <v>13.5</v>
      </c>
      <c r="E1281" t="s">
        <v>13</v>
      </c>
      <c r="F1281" t="s">
        <v>14</v>
      </c>
      <c r="G1281">
        <v>60</v>
      </c>
    </row>
    <row r="1282" spans="1:7" x14ac:dyDescent="0.2">
      <c r="A1282">
        <f t="shared" si="21"/>
        <v>107</v>
      </c>
      <c r="B1282" t="s">
        <v>5</v>
      </c>
      <c r="C1282">
        <f>IF(data!$B1282&lt;&gt;data!$B1281,1,C1281+1)</f>
        <v>9</v>
      </c>
      <c r="D1282">
        <v>13</v>
      </c>
      <c r="E1282" t="s">
        <v>13</v>
      </c>
      <c r="F1282" t="s">
        <v>14</v>
      </c>
      <c r="G1282">
        <v>60</v>
      </c>
    </row>
    <row r="1283" spans="1:7" x14ac:dyDescent="0.2">
      <c r="A1283">
        <f t="shared" si="21"/>
        <v>107</v>
      </c>
      <c r="B1283" t="s">
        <v>5</v>
      </c>
      <c r="C1283">
        <f>IF(data!$B1283&lt;&gt;data!$B1282,1,C1282+1)</f>
        <v>10</v>
      </c>
      <c r="D1283">
        <v>12.5</v>
      </c>
      <c r="E1283" t="s">
        <v>13</v>
      </c>
      <c r="F1283" t="s">
        <v>14</v>
      </c>
      <c r="G1283">
        <v>60</v>
      </c>
    </row>
    <row r="1284" spans="1:7" x14ac:dyDescent="0.2">
      <c r="A1284">
        <f t="shared" si="21"/>
        <v>107</v>
      </c>
      <c r="B1284" t="s">
        <v>5</v>
      </c>
      <c r="C1284">
        <f>IF(data!$B1284&lt;&gt;data!$B1283,1,C1283+1)</f>
        <v>11</v>
      </c>
      <c r="D1284">
        <v>12</v>
      </c>
      <c r="E1284" t="s">
        <v>13</v>
      </c>
      <c r="F1284" t="s">
        <v>14</v>
      </c>
      <c r="G1284">
        <v>60</v>
      </c>
    </row>
    <row r="1285" spans="1:7" x14ac:dyDescent="0.2">
      <c r="A1285">
        <f t="shared" si="21"/>
        <v>107</v>
      </c>
      <c r="B1285" t="s">
        <v>5</v>
      </c>
      <c r="C1285">
        <f>IF(data!$B1285&lt;&gt;data!$B1284,1,C1284+1)</f>
        <v>12</v>
      </c>
      <c r="D1285">
        <v>11.5</v>
      </c>
      <c r="E1285" t="s">
        <v>13</v>
      </c>
      <c r="F1285" t="s">
        <v>14</v>
      </c>
      <c r="G1285">
        <v>60</v>
      </c>
    </row>
    <row r="1286" spans="1:7" x14ac:dyDescent="0.2">
      <c r="A1286">
        <f t="shared" si="21"/>
        <v>108</v>
      </c>
      <c r="B1286" t="s">
        <v>6</v>
      </c>
      <c r="C1286">
        <f>IF(data!$B1286&lt;&gt;data!$B1285,1,C1285+1)</f>
        <v>1</v>
      </c>
      <c r="D1286">
        <v>19</v>
      </c>
      <c r="E1286" t="s">
        <v>13</v>
      </c>
      <c r="F1286" t="s">
        <v>14</v>
      </c>
      <c r="G1286">
        <v>60</v>
      </c>
    </row>
    <row r="1287" spans="1:7" x14ac:dyDescent="0.2">
      <c r="A1287">
        <f t="shared" si="21"/>
        <v>108</v>
      </c>
      <c r="B1287" t="s">
        <v>6</v>
      </c>
      <c r="C1287">
        <f>IF(data!$B1287&lt;&gt;data!$B1286,1,C1286+1)</f>
        <v>2</v>
      </c>
      <c r="D1287">
        <v>17.8</v>
      </c>
      <c r="E1287" t="s">
        <v>13</v>
      </c>
      <c r="F1287" t="s">
        <v>14</v>
      </c>
      <c r="G1287">
        <v>60</v>
      </c>
    </row>
    <row r="1288" spans="1:7" x14ac:dyDescent="0.2">
      <c r="A1288">
        <f t="shared" si="21"/>
        <v>108</v>
      </c>
      <c r="B1288" t="s">
        <v>6</v>
      </c>
      <c r="C1288">
        <f>IF(data!$B1288&lt;&gt;data!$B1287,1,C1287+1)</f>
        <v>3</v>
      </c>
      <c r="D1288">
        <v>16.600000000000001</v>
      </c>
      <c r="E1288" t="s">
        <v>13</v>
      </c>
      <c r="F1288" t="s">
        <v>14</v>
      </c>
      <c r="G1288">
        <v>60</v>
      </c>
    </row>
    <row r="1289" spans="1:7" x14ac:dyDescent="0.2">
      <c r="A1289">
        <f t="shared" si="21"/>
        <v>108</v>
      </c>
      <c r="B1289" t="s">
        <v>6</v>
      </c>
      <c r="C1289">
        <f>IF(data!$B1289&lt;&gt;data!$B1288,1,C1288+1)</f>
        <v>4</v>
      </c>
      <c r="D1289">
        <v>15.400000000000002</v>
      </c>
      <c r="E1289" t="s">
        <v>13</v>
      </c>
      <c r="F1289" t="s">
        <v>14</v>
      </c>
      <c r="G1289">
        <v>60</v>
      </c>
    </row>
    <row r="1290" spans="1:7" x14ac:dyDescent="0.2">
      <c r="A1290">
        <f t="shared" si="21"/>
        <v>108</v>
      </c>
      <c r="B1290" t="s">
        <v>6</v>
      </c>
      <c r="C1290">
        <f>IF(data!$B1290&lt;&gt;data!$B1289,1,C1289+1)</f>
        <v>5</v>
      </c>
      <c r="D1290">
        <v>14.200000000000003</v>
      </c>
      <c r="E1290" t="s">
        <v>13</v>
      </c>
      <c r="F1290" t="s">
        <v>14</v>
      </c>
      <c r="G1290">
        <v>60</v>
      </c>
    </row>
    <row r="1291" spans="1:7" x14ac:dyDescent="0.2">
      <c r="A1291">
        <f t="shared" si="21"/>
        <v>108</v>
      </c>
      <c r="B1291" t="s">
        <v>6</v>
      </c>
      <c r="C1291">
        <f>IF(data!$B1291&lt;&gt;data!$B1290,1,C1290+1)</f>
        <v>6</v>
      </c>
      <c r="D1291">
        <v>13.000000000000004</v>
      </c>
      <c r="E1291" t="s">
        <v>13</v>
      </c>
      <c r="F1291" t="s">
        <v>14</v>
      </c>
      <c r="G1291">
        <v>60</v>
      </c>
    </row>
    <row r="1292" spans="1:7" x14ac:dyDescent="0.2">
      <c r="A1292">
        <f t="shared" si="21"/>
        <v>108</v>
      </c>
      <c r="B1292" t="s">
        <v>6</v>
      </c>
      <c r="C1292">
        <f>IF(data!$B1292&lt;&gt;data!$B1291,1,C1291+1)</f>
        <v>7</v>
      </c>
      <c r="D1292">
        <v>11.800000000000004</v>
      </c>
      <c r="E1292" t="s">
        <v>13</v>
      </c>
      <c r="F1292" t="s">
        <v>14</v>
      </c>
      <c r="G1292">
        <v>60</v>
      </c>
    </row>
    <row r="1293" spans="1:7" x14ac:dyDescent="0.2">
      <c r="A1293">
        <f t="shared" si="21"/>
        <v>108</v>
      </c>
      <c r="B1293" t="s">
        <v>6</v>
      </c>
      <c r="C1293">
        <f>IF(data!$B1293&lt;&gt;data!$B1292,1,C1292+1)</f>
        <v>8</v>
      </c>
      <c r="D1293">
        <v>10.600000000000005</v>
      </c>
      <c r="E1293" t="s">
        <v>13</v>
      </c>
      <c r="F1293" t="s">
        <v>14</v>
      </c>
      <c r="G1293">
        <v>60</v>
      </c>
    </row>
    <row r="1294" spans="1:7" x14ac:dyDescent="0.2">
      <c r="A1294">
        <f t="shared" si="21"/>
        <v>108</v>
      </c>
      <c r="B1294" t="s">
        <v>6</v>
      </c>
      <c r="C1294">
        <f>IF(data!$B1294&lt;&gt;data!$B1293,1,C1293+1)</f>
        <v>9</v>
      </c>
      <c r="D1294">
        <v>9.4000000000000057</v>
      </c>
      <c r="E1294" t="s">
        <v>13</v>
      </c>
      <c r="F1294" t="s">
        <v>14</v>
      </c>
      <c r="G1294">
        <v>60</v>
      </c>
    </row>
    <row r="1295" spans="1:7" x14ac:dyDescent="0.2">
      <c r="A1295">
        <f t="shared" si="21"/>
        <v>108</v>
      </c>
      <c r="B1295" t="s">
        <v>6</v>
      </c>
      <c r="C1295">
        <f>IF(data!$B1295&lt;&gt;data!$B1294,1,C1294+1)</f>
        <v>10</v>
      </c>
      <c r="D1295">
        <v>8.2000000000000064</v>
      </c>
      <c r="E1295" t="s">
        <v>13</v>
      </c>
      <c r="F1295" t="s">
        <v>14</v>
      </c>
      <c r="G1295">
        <v>60</v>
      </c>
    </row>
    <row r="1296" spans="1:7" x14ac:dyDescent="0.2">
      <c r="A1296">
        <f t="shared" si="21"/>
        <v>108</v>
      </c>
      <c r="B1296" t="s">
        <v>6</v>
      </c>
      <c r="C1296">
        <f>IF(data!$B1296&lt;&gt;data!$B1295,1,C1295+1)</f>
        <v>11</v>
      </c>
      <c r="D1296">
        <v>7.0000000000000062</v>
      </c>
      <c r="E1296" t="s">
        <v>13</v>
      </c>
      <c r="F1296" t="s">
        <v>14</v>
      </c>
      <c r="G1296">
        <v>60</v>
      </c>
    </row>
    <row r="1297" spans="1:7" x14ac:dyDescent="0.2">
      <c r="A1297">
        <f t="shared" si="21"/>
        <v>108</v>
      </c>
      <c r="B1297" t="s">
        <v>6</v>
      </c>
      <c r="C1297">
        <f>IF(data!$B1297&lt;&gt;data!$B1296,1,C1296+1)</f>
        <v>12</v>
      </c>
      <c r="D1297">
        <v>5.800000000000006</v>
      </c>
      <c r="E1297" t="s">
        <v>13</v>
      </c>
      <c r="F1297" t="s">
        <v>14</v>
      </c>
      <c r="G1297">
        <v>60</v>
      </c>
    </row>
    <row r="1298" spans="1:7" x14ac:dyDescent="0.2">
      <c r="A1298">
        <f t="shared" si="21"/>
        <v>109</v>
      </c>
      <c r="B1298" t="s">
        <v>5</v>
      </c>
      <c r="C1298">
        <f>IF(data!$B1298&lt;&gt;data!$B1297,1,C1297+1)</f>
        <v>1</v>
      </c>
      <c r="D1298">
        <v>16</v>
      </c>
      <c r="E1298" t="s">
        <v>7</v>
      </c>
      <c r="F1298" t="s">
        <v>12</v>
      </c>
      <c r="G1298">
        <v>60</v>
      </c>
    </row>
    <row r="1299" spans="1:7" x14ac:dyDescent="0.2">
      <c r="A1299">
        <f t="shared" si="21"/>
        <v>109</v>
      </c>
      <c r="B1299" t="s">
        <v>5</v>
      </c>
      <c r="C1299">
        <f>IF(data!$B1299&lt;&gt;data!$B1298,1,C1298+1)</f>
        <v>2</v>
      </c>
      <c r="D1299">
        <v>14.698970004336019</v>
      </c>
      <c r="E1299" t="s">
        <v>7</v>
      </c>
      <c r="F1299" t="s">
        <v>12</v>
      </c>
      <c r="G1299">
        <v>60</v>
      </c>
    </row>
    <row r="1300" spans="1:7" x14ac:dyDescent="0.2">
      <c r="A1300">
        <f t="shared" si="21"/>
        <v>109</v>
      </c>
      <c r="B1300" t="s">
        <v>5</v>
      </c>
      <c r="C1300">
        <f>IF(data!$B1300&lt;&gt;data!$B1299,1,C1299+1)</f>
        <v>3</v>
      </c>
      <c r="D1300">
        <v>13.522878745280337</v>
      </c>
      <c r="E1300" t="s">
        <v>7</v>
      </c>
      <c r="F1300" t="s">
        <v>12</v>
      </c>
      <c r="G1300">
        <v>60</v>
      </c>
    </row>
    <row r="1301" spans="1:7" x14ac:dyDescent="0.2">
      <c r="A1301">
        <f t="shared" si="21"/>
        <v>109</v>
      </c>
      <c r="B1301" t="s">
        <v>5</v>
      </c>
      <c r="C1301">
        <f>IF(data!$B1301&lt;&gt;data!$B1300,1,C1300+1)</f>
        <v>4</v>
      </c>
      <c r="D1301">
        <v>12.397940008672037</v>
      </c>
      <c r="E1301" t="s">
        <v>7</v>
      </c>
      <c r="F1301" t="s">
        <v>12</v>
      </c>
      <c r="G1301">
        <v>60</v>
      </c>
    </row>
    <row r="1302" spans="1:7" x14ac:dyDescent="0.2">
      <c r="A1302">
        <f t="shared" si="21"/>
        <v>109</v>
      </c>
      <c r="B1302" t="s">
        <v>5</v>
      </c>
      <c r="C1302">
        <f>IF(data!$B1302&lt;&gt;data!$B1301,1,C1301+1)</f>
        <v>5</v>
      </c>
      <c r="D1302">
        <v>11.301029995663981</v>
      </c>
      <c r="E1302" t="s">
        <v>7</v>
      </c>
      <c r="F1302" t="s">
        <v>12</v>
      </c>
      <c r="G1302">
        <v>60</v>
      </c>
    </row>
    <row r="1303" spans="1:7" x14ac:dyDescent="0.2">
      <c r="A1303">
        <f t="shared" si="21"/>
        <v>109</v>
      </c>
      <c r="B1303" t="s">
        <v>5</v>
      </c>
      <c r="C1303">
        <f>IF(data!$B1303&lt;&gt;data!$B1302,1,C1302+1)</f>
        <v>6</v>
      </c>
      <c r="D1303">
        <v>10.221848749616356</v>
      </c>
      <c r="E1303" t="s">
        <v>7</v>
      </c>
      <c r="F1303" t="s">
        <v>12</v>
      </c>
      <c r="G1303">
        <v>60</v>
      </c>
    </row>
    <row r="1304" spans="1:7" x14ac:dyDescent="0.2">
      <c r="A1304">
        <f t="shared" si="21"/>
        <v>109</v>
      </c>
      <c r="B1304" t="s">
        <v>5</v>
      </c>
      <c r="C1304">
        <f>IF(data!$B1304&lt;&gt;data!$B1303,1,C1303+1)</f>
        <v>7</v>
      </c>
      <c r="D1304">
        <v>9.1549019599857431</v>
      </c>
      <c r="E1304" t="s">
        <v>7</v>
      </c>
      <c r="F1304" t="s">
        <v>12</v>
      </c>
      <c r="G1304">
        <v>60</v>
      </c>
    </row>
    <row r="1305" spans="1:7" x14ac:dyDescent="0.2">
      <c r="A1305">
        <f t="shared" si="21"/>
        <v>109</v>
      </c>
      <c r="B1305" t="s">
        <v>5</v>
      </c>
      <c r="C1305">
        <f>IF(data!$B1305&lt;&gt;data!$B1304,1,C1304+1)</f>
        <v>8</v>
      </c>
      <c r="D1305">
        <v>8.0969100130080562</v>
      </c>
      <c r="E1305" t="s">
        <v>7</v>
      </c>
      <c r="F1305" t="s">
        <v>12</v>
      </c>
      <c r="G1305">
        <v>60</v>
      </c>
    </row>
    <row r="1306" spans="1:7" x14ac:dyDescent="0.2">
      <c r="A1306">
        <f t="shared" si="21"/>
        <v>109</v>
      </c>
      <c r="B1306" t="s">
        <v>5</v>
      </c>
      <c r="C1306">
        <f>IF(data!$B1306&lt;&gt;data!$B1305,1,C1305+1)</f>
        <v>9</v>
      </c>
      <c r="D1306">
        <v>7.0457574905606748</v>
      </c>
      <c r="E1306" t="s">
        <v>7</v>
      </c>
      <c r="F1306" t="s">
        <v>12</v>
      </c>
      <c r="G1306">
        <v>60</v>
      </c>
    </row>
    <row r="1307" spans="1:7" x14ac:dyDescent="0.2">
      <c r="A1307">
        <f t="shared" si="21"/>
        <v>109</v>
      </c>
      <c r="B1307" t="s">
        <v>5</v>
      </c>
      <c r="C1307">
        <f>IF(data!$B1307&lt;&gt;data!$B1306,1,C1306+1)</f>
        <v>10</v>
      </c>
      <c r="D1307">
        <v>6</v>
      </c>
      <c r="E1307" t="s">
        <v>7</v>
      </c>
      <c r="F1307" t="s">
        <v>12</v>
      </c>
      <c r="G1307">
        <v>60</v>
      </c>
    </row>
    <row r="1308" spans="1:7" x14ac:dyDescent="0.2">
      <c r="A1308">
        <f t="shared" si="21"/>
        <v>109</v>
      </c>
      <c r="B1308" t="s">
        <v>5</v>
      </c>
      <c r="C1308">
        <f>IF(data!$B1308&lt;&gt;data!$B1307,1,C1307+1)</f>
        <v>11</v>
      </c>
      <c r="D1308">
        <v>4.9586073148417746</v>
      </c>
      <c r="E1308" t="s">
        <v>7</v>
      </c>
      <c r="F1308" t="s">
        <v>12</v>
      </c>
      <c r="G1308">
        <v>60</v>
      </c>
    </row>
    <row r="1309" spans="1:7" x14ac:dyDescent="0.2">
      <c r="A1309">
        <f t="shared" si="21"/>
        <v>109</v>
      </c>
      <c r="B1309" t="s">
        <v>5</v>
      </c>
      <c r="C1309">
        <f>IF(data!$B1309&lt;&gt;data!$B1308,1,C1308+1)</f>
        <v>12</v>
      </c>
      <c r="D1309">
        <v>3.9208187539523749</v>
      </c>
      <c r="E1309" t="s">
        <v>7</v>
      </c>
      <c r="F1309" t="s">
        <v>12</v>
      </c>
      <c r="G1309">
        <v>60</v>
      </c>
    </row>
    <row r="1310" spans="1:7" x14ac:dyDescent="0.2">
      <c r="A1310">
        <f t="shared" si="21"/>
        <v>110</v>
      </c>
      <c r="B1310" t="s">
        <v>6</v>
      </c>
      <c r="C1310">
        <f>IF(data!$B1310&lt;&gt;data!$B1309,1,C1309+1)</f>
        <v>1</v>
      </c>
      <c r="D1310">
        <v>18</v>
      </c>
      <c r="E1310" t="s">
        <v>7</v>
      </c>
      <c r="F1310" t="s">
        <v>12</v>
      </c>
      <c r="G1310">
        <v>60</v>
      </c>
    </row>
    <row r="1311" spans="1:7" x14ac:dyDescent="0.2">
      <c r="A1311">
        <f t="shared" si="21"/>
        <v>110</v>
      </c>
      <c r="B1311" t="s">
        <v>6</v>
      </c>
      <c r="C1311">
        <f>IF(data!$B1311&lt;&gt;data!$B1310,1,C1310+1)</f>
        <v>2</v>
      </c>
      <c r="D1311">
        <v>16.198970004336019</v>
      </c>
      <c r="E1311" t="s">
        <v>7</v>
      </c>
      <c r="F1311" t="s">
        <v>12</v>
      </c>
      <c r="G1311">
        <v>60</v>
      </c>
    </row>
    <row r="1312" spans="1:7" x14ac:dyDescent="0.2">
      <c r="A1312">
        <f t="shared" si="21"/>
        <v>110</v>
      </c>
      <c r="B1312" t="s">
        <v>6</v>
      </c>
      <c r="C1312">
        <f>IF(data!$B1312&lt;&gt;data!$B1311,1,C1311+1)</f>
        <v>3</v>
      </c>
      <c r="D1312">
        <v>14.522878745280337</v>
      </c>
      <c r="E1312" t="s">
        <v>7</v>
      </c>
      <c r="F1312" t="s">
        <v>12</v>
      </c>
      <c r="G1312">
        <v>60</v>
      </c>
    </row>
    <row r="1313" spans="1:7" x14ac:dyDescent="0.2">
      <c r="A1313">
        <f t="shared" si="21"/>
        <v>110</v>
      </c>
      <c r="B1313" t="s">
        <v>6</v>
      </c>
      <c r="C1313">
        <f>IF(data!$B1313&lt;&gt;data!$B1312,1,C1312+1)</f>
        <v>4</v>
      </c>
      <c r="D1313">
        <v>12.897940008672037</v>
      </c>
      <c r="E1313" t="s">
        <v>7</v>
      </c>
      <c r="F1313" t="s">
        <v>12</v>
      </c>
      <c r="G1313">
        <v>60</v>
      </c>
    </row>
    <row r="1314" spans="1:7" x14ac:dyDescent="0.2">
      <c r="A1314">
        <f t="shared" si="21"/>
        <v>110</v>
      </c>
      <c r="B1314" t="s">
        <v>6</v>
      </c>
      <c r="C1314">
        <f>IF(data!$B1314&lt;&gt;data!$B1313,1,C1313+1)</f>
        <v>5</v>
      </c>
      <c r="D1314">
        <v>11.301029995663981</v>
      </c>
      <c r="E1314" t="s">
        <v>7</v>
      </c>
      <c r="F1314" t="s">
        <v>12</v>
      </c>
      <c r="G1314">
        <v>60</v>
      </c>
    </row>
    <row r="1315" spans="1:7" x14ac:dyDescent="0.2">
      <c r="A1315">
        <f t="shared" ref="A1315:A1378" si="22">IF(B1315=B1314,A1314,A1314+1)</f>
        <v>110</v>
      </c>
      <c r="B1315" t="s">
        <v>6</v>
      </c>
      <c r="C1315">
        <f>IF(data!$B1315&lt;&gt;data!$B1314,1,C1314+1)</f>
        <v>6</v>
      </c>
      <c r="D1315">
        <v>9.7218487496163561</v>
      </c>
      <c r="E1315" t="s">
        <v>7</v>
      </c>
      <c r="F1315" t="s">
        <v>12</v>
      </c>
      <c r="G1315">
        <v>60</v>
      </c>
    </row>
    <row r="1316" spans="1:7" x14ac:dyDescent="0.2">
      <c r="A1316">
        <f t="shared" si="22"/>
        <v>110</v>
      </c>
      <c r="B1316" t="s">
        <v>6</v>
      </c>
      <c r="C1316">
        <f>IF(data!$B1316&lt;&gt;data!$B1315,1,C1315+1)</f>
        <v>7</v>
      </c>
      <c r="D1316">
        <v>8.1549019599857431</v>
      </c>
      <c r="E1316" t="s">
        <v>7</v>
      </c>
      <c r="F1316" t="s">
        <v>12</v>
      </c>
      <c r="G1316">
        <v>60</v>
      </c>
    </row>
    <row r="1317" spans="1:7" x14ac:dyDescent="0.2">
      <c r="A1317">
        <f t="shared" si="22"/>
        <v>110</v>
      </c>
      <c r="B1317" t="s">
        <v>6</v>
      </c>
      <c r="C1317">
        <f>IF(data!$B1317&lt;&gt;data!$B1316,1,C1316+1)</f>
        <v>8</v>
      </c>
      <c r="D1317">
        <v>6.5969100130080562</v>
      </c>
      <c r="E1317" t="s">
        <v>7</v>
      </c>
      <c r="F1317" t="s">
        <v>12</v>
      </c>
      <c r="G1317">
        <v>60</v>
      </c>
    </row>
    <row r="1318" spans="1:7" x14ac:dyDescent="0.2">
      <c r="A1318">
        <f t="shared" si="22"/>
        <v>110</v>
      </c>
      <c r="B1318" t="s">
        <v>6</v>
      </c>
      <c r="C1318">
        <f>IF(data!$B1318&lt;&gt;data!$B1317,1,C1317+1)</f>
        <v>9</v>
      </c>
      <c r="D1318">
        <v>5.0457574905606748</v>
      </c>
      <c r="E1318" t="s">
        <v>7</v>
      </c>
      <c r="F1318" t="s">
        <v>12</v>
      </c>
      <c r="G1318">
        <v>60</v>
      </c>
    </row>
    <row r="1319" spans="1:7" x14ac:dyDescent="0.2">
      <c r="A1319">
        <f t="shared" si="22"/>
        <v>110</v>
      </c>
      <c r="B1319" t="s">
        <v>6</v>
      </c>
      <c r="C1319">
        <f>IF(data!$B1319&lt;&gt;data!$B1318,1,C1318+1)</f>
        <v>10</v>
      </c>
      <c r="D1319">
        <v>3.5</v>
      </c>
      <c r="E1319" t="s">
        <v>7</v>
      </c>
      <c r="F1319" t="s">
        <v>12</v>
      </c>
      <c r="G1319">
        <v>60</v>
      </c>
    </row>
    <row r="1320" spans="1:7" x14ac:dyDescent="0.2">
      <c r="A1320">
        <f t="shared" si="22"/>
        <v>110</v>
      </c>
      <c r="B1320" t="s">
        <v>6</v>
      </c>
      <c r="C1320">
        <f>IF(data!$B1320&lt;&gt;data!$B1319,1,C1319+1)</f>
        <v>11</v>
      </c>
      <c r="D1320">
        <v>1.9586073148417749</v>
      </c>
      <c r="E1320" t="s">
        <v>7</v>
      </c>
      <c r="F1320" t="s">
        <v>12</v>
      </c>
      <c r="G1320">
        <v>60</v>
      </c>
    </row>
    <row r="1321" spans="1:7" x14ac:dyDescent="0.2">
      <c r="A1321">
        <f t="shared" si="22"/>
        <v>110</v>
      </c>
      <c r="B1321" t="s">
        <v>6</v>
      </c>
      <c r="C1321">
        <f>IF(data!$B1321&lt;&gt;data!$B1320,1,C1320+1)</f>
        <v>12</v>
      </c>
      <c r="D1321">
        <v>0.42081875395237511</v>
      </c>
      <c r="E1321" t="s">
        <v>7</v>
      </c>
      <c r="F1321" t="s">
        <v>12</v>
      </c>
      <c r="G1321">
        <v>60</v>
      </c>
    </row>
    <row r="1322" spans="1:7" x14ac:dyDescent="0.2">
      <c r="A1322">
        <f t="shared" si="22"/>
        <v>111</v>
      </c>
      <c r="B1322" t="s">
        <v>5</v>
      </c>
      <c r="C1322">
        <f>IF(data!$B1322&lt;&gt;data!$B1321,1,C1321+1)</f>
        <v>1</v>
      </c>
      <c r="D1322">
        <v>17</v>
      </c>
      <c r="E1322" t="s">
        <v>13</v>
      </c>
      <c r="F1322" t="s">
        <v>12</v>
      </c>
      <c r="G1322">
        <v>60</v>
      </c>
    </row>
    <row r="1323" spans="1:7" x14ac:dyDescent="0.2">
      <c r="A1323">
        <f t="shared" si="22"/>
        <v>111</v>
      </c>
      <c r="B1323" t="s">
        <v>5</v>
      </c>
      <c r="C1323">
        <f>IF(data!$B1323&lt;&gt;data!$B1322,1,C1322+1)</f>
        <v>2</v>
      </c>
      <c r="D1323">
        <v>16.198970004336019</v>
      </c>
      <c r="E1323" t="s">
        <v>13</v>
      </c>
      <c r="F1323" t="s">
        <v>12</v>
      </c>
      <c r="G1323">
        <v>60</v>
      </c>
    </row>
    <row r="1324" spans="1:7" x14ac:dyDescent="0.2">
      <c r="A1324">
        <f t="shared" si="22"/>
        <v>111</v>
      </c>
      <c r="B1324" t="s">
        <v>5</v>
      </c>
      <c r="C1324">
        <f>IF(data!$B1324&lt;&gt;data!$B1323,1,C1323+1)</f>
        <v>3</v>
      </c>
      <c r="D1324">
        <v>15.522878745280337</v>
      </c>
      <c r="E1324" t="s">
        <v>13</v>
      </c>
      <c r="F1324" t="s">
        <v>12</v>
      </c>
      <c r="G1324">
        <v>60</v>
      </c>
    </row>
    <row r="1325" spans="1:7" x14ac:dyDescent="0.2">
      <c r="A1325">
        <f t="shared" si="22"/>
        <v>111</v>
      </c>
      <c r="B1325" t="s">
        <v>5</v>
      </c>
      <c r="C1325">
        <f>IF(data!$B1325&lt;&gt;data!$B1324,1,C1324+1)</f>
        <v>4</v>
      </c>
      <c r="D1325">
        <v>14.897940008672037</v>
      </c>
      <c r="E1325" t="s">
        <v>13</v>
      </c>
      <c r="F1325" t="s">
        <v>12</v>
      </c>
      <c r="G1325">
        <v>60</v>
      </c>
    </row>
    <row r="1326" spans="1:7" x14ac:dyDescent="0.2">
      <c r="A1326">
        <f t="shared" si="22"/>
        <v>111</v>
      </c>
      <c r="B1326" t="s">
        <v>5</v>
      </c>
      <c r="C1326">
        <f>IF(data!$B1326&lt;&gt;data!$B1325,1,C1325+1)</f>
        <v>5</v>
      </c>
      <c r="D1326">
        <v>14.301029995663981</v>
      </c>
      <c r="E1326" t="s">
        <v>13</v>
      </c>
      <c r="F1326" t="s">
        <v>12</v>
      </c>
      <c r="G1326">
        <v>60</v>
      </c>
    </row>
    <row r="1327" spans="1:7" x14ac:dyDescent="0.2">
      <c r="A1327">
        <f t="shared" si="22"/>
        <v>111</v>
      </c>
      <c r="B1327" t="s">
        <v>5</v>
      </c>
      <c r="C1327">
        <f>IF(data!$B1327&lt;&gt;data!$B1326,1,C1326+1)</f>
        <v>6</v>
      </c>
      <c r="D1327">
        <v>13.721848749616356</v>
      </c>
      <c r="E1327" t="s">
        <v>13</v>
      </c>
      <c r="F1327" t="s">
        <v>12</v>
      </c>
      <c r="G1327">
        <v>60</v>
      </c>
    </row>
    <row r="1328" spans="1:7" x14ac:dyDescent="0.2">
      <c r="A1328">
        <f t="shared" si="22"/>
        <v>111</v>
      </c>
      <c r="B1328" t="s">
        <v>5</v>
      </c>
      <c r="C1328">
        <f>IF(data!$B1328&lt;&gt;data!$B1327,1,C1327+1)</f>
        <v>7</v>
      </c>
      <c r="D1328">
        <v>13.154901959985743</v>
      </c>
      <c r="E1328" t="s">
        <v>13</v>
      </c>
      <c r="F1328" t="s">
        <v>12</v>
      </c>
      <c r="G1328">
        <v>60</v>
      </c>
    </row>
    <row r="1329" spans="1:7" x14ac:dyDescent="0.2">
      <c r="A1329">
        <f t="shared" si="22"/>
        <v>111</v>
      </c>
      <c r="B1329" t="s">
        <v>5</v>
      </c>
      <c r="C1329">
        <f>IF(data!$B1329&lt;&gt;data!$B1328,1,C1328+1)</f>
        <v>8</v>
      </c>
      <c r="D1329">
        <v>12.596910013008056</v>
      </c>
      <c r="E1329" t="s">
        <v>13</v>
      </c>
      <c r="F1329" t="s">
        <v>12</v>
      </c>
      <c r="G1329">
        <v>60</v>
      </c>
    </row>
    <row r="1330" spans="1:7" x14ac:dyDescent="0.2">
      <c r="A1330">
        <f t="shared" si="22"/>
        <v>111</v>
      </c>
      <c r="B1330" t="s">
        <v>5</v>
      </c>
      <c r="C1330">
        <f>IF(data!$B1330&lt;&gt;data!$B1329,1,C1329+1)</f>
        <v>9</v>
      </c>
      <c r="D1330">
        <v>12.045757490560675</v>
      </c>
      <c r="E1330" t="s">
        <v>13</v>
      </c>
      <c r="F1330" t="s">
        <v>12</v>
      </c>
      <c r="G1330">
        <v>60</v>
      </c>
    </row>
    <row r="1331" spans="1:7" x14ac:dyDescent="0.2">
      <c r="A1331">
        <f t="shared" si="22"/>
        <v>111</v>
      </c>
      <c r="B1331" t="s">
        <v>5</v>
      </c>
      <c r="C1331">
        <f>IF(data!$B1331&lt;&gt;data!$B1330,1,C1330+1)</f>
        <v>10</v>
      </c>
      <c r="D1331">
        <v>11.5</v>
      </c>
      <c r="E1331" t="s">
        <v>13</v>
      </c>
      <c r="F1331" t="s">
        <v>12</v>
      </c>
      <c r="G1331">
        <v>60</v>
      </c>
    </row>
    <row r="1332" spans="1:7" x14ac:dyDescent="0.2">
      <c r="A1332">
        <f t="shared" si="22"/>
        <v>111</v>
      </c>
      <c r="B1332" t="s">
        <v>5</v>
      </c>
      <c r="C1332">
        <f>IF(data!$B1332&lt;&gt;data!$B1331,1,C1331+1)</f>
        <v>11</v>
      </c>
      <c r="D1332">
        <v>10.958607314841775</v>
      </c>
      <c r="E1332" t="s">
        <v>13</v>
      </c>
      <c r="F1332" t="s">
        <v>12</v>
      </c>
      <c r="G1332">
        <v>60</v>
      </c>
    </row>
    <row r="1333" spans="1:7" x14ac:dyDescent="0.2">
      <c r="A1333">
        <f t="shared" si="22"/>
        <v>111</v>
      </c>
      <c r="B1333" t="s">
        <v>5</v>
      </c>
      <c r="C1333">
        <f>IF(data!$B1333&lt;&gt;data!$B1332,1,C1332+1)</f>
        <v>12</v>
      </c>
      <c r="D1333">
        <v>10.420818753952375</v>
      </c>
      <c r="E1333" t="s">
        <v>13</v>
      </c>
      <c r="F1333" t="s">
        <v>12</v>
      </c>
      <c r="G1333">
        <v>60</v>
      </c>
    </row>
    <row r="1334" spans="1:7" x14ac:dyDescent="0.2">
      <c r="A1334">
        <f t="shared" si="22"/>
        <v>112</v>
      </c>
      <c r="B1334" t="s">
        <v>6</v>
      </c>
      <c r="C1334">
        <f>IF(data!$B1334&lt;&gt;data!$B1333,1,C1333+1)</f>
        <v>1</v>
      </c>
      <c r="D1334">
        <v>19</v>
      </c>
      <c r="E1334" t="s">
        <v>13</v>
      </c>
      <c r="F1334" t="s">
        <v>12</v>
      </c>
      <c r="G1334">
        <v>60</v>
      </c>
    </row>
    <row r="1335" spans="1:7" x14ac:dyDescent="0.2">
      <c r="A1335">
        <f t="shared" si="22"/>
        <v>112</v>
      </c>
      <c r="B1335" t="s">
        <v>6</v>
      </c>
      <c r="C1335">
        <f>IF(data!$B1335&lt;&gt;data!$B1334,1,C1334+1)</f>
        <v>2</v>
      </c>
      <c r="D1335">
        <v>17.498970004336019</v>
      </c>
      <c r="E1335" t="s">
        <v>13</v>
      </c>
      <c r="F1335" t="s">
        <v>12</v>
      </c>
      <c r="G1335">
        <v>60</v>
      </c>
    </row>
    <row r="1336" spans="1:7" x14ac:dyDescent="0.2">
      <c r="A1336">
        <f t="shared" si="22"/>
        <v>112</v>
      </c>
      <c r="B1336" t="s">
        <v>6</v>
      </c>
      <c r="C1336">
        <f>IF(data!$B1336&lt;&gt;data!$B1335,1,C1335+1)</f>
        <v>3</v>
      </c>
      <c r="D1336">
        <v>16.122878745280339</v>
      </c>
      <c r="E1336" t="s">
        <v>13</v>
      </c>
      <c r="F1336" t="s">
        <v>12</v>
      </c>
      <c r="G1336">
        <v>60</v>
      </c>
    </row>
    <row r="1337" spans="1:7" x14ac:dyDescent="0.2">
      <c r="A1337">
        <f t="shared" si="22"/>
        <v>112</v>
      </c>
      <c r="B1337" t="s">
        <v>6</v>
      </c>
      <c r="C1337">
        <f>IF(data!$B1337&lt;&gt;data!$B1336,1,C1336+1)</f>
        <v>4</v>
      </c>
      <c r="D1337">
        <v>14.79794000867204</v>
      </c>
      <c r="E1337" t="s">
        <v>13</v>
      </c>
      <c r="F1337" t="s">
        <v>12</v>
      </c>
      <c r="G1337">
        <v>60</v>
      </c>
    </row>
    <row r="1338" spans="1:7" x14ac:dyDescent="0.2">
      <c r="A1338">
        <f t="shared" si="22"/>
        <v>112</v>
      </c>
      <c r="B1338" t="s">
        <v>6</v>
      </c>
      <c r="C1338">
        <f>IF(data!$B1338&lt;&gt;data!$B1337,1,C1337+1)</f>
        <v>5</v>
      </c>
      <c r="D1338">
        <v>13.501029995663984</v>
      </c>
      <c r="E1338" t="s">
        <v>13</v>
      </c>
      <c r="F1338" t="s">
        <v>12</v>
      </c>
      <c r="G1338">
        <v>60</v>
      </c>
    </row>
    <row r="1339" spans="1:7" x14ac:dyDescent="0.2">
      <c r="A1339">
        <f t="shared" si="22"/>
        <v>112</v>
      </c>
      <c r="B1339" t="s">
        <v>6</v>
      </c>
      <c r="C1339">
        <f>IF(data!$B1339&lt;&gt;data!$B1338,1,C1338+1)</f>
        <v>6</v>
      </c>
      <c r="D1339">
        <v>12.22184874961636</v>
      </c>
      <c r="E1339" t="s">
        <v>13</v>
      </c>
      <c r="F1339" t="s">
        <v>12</v>
      </c>
      <c r="G1339">
        <v>60</v>
      </c>
    </row>
    <row r="1340" spans="1:7" x14ac:dyDescent="0.2">
      <c r="A1340">
        <f t="shared" si="22"/>
        <v>112</v>
      </c>
      <c r="B1340" t="s">
        <v>6</v>
      </c>
      <c r="C1340">
        <f>IF(data!$B1340&lt;&gt;data!$B1339,1,C1339+1)</f>
        <v>7</v>
      </c>
      <c r="D1340">
        <v>10.954901959985747</v>
      </c>
      <c r="E1340" t="s">
        <v>13</v>
      </c>
      <c r="F1340" t="s">
        <v>12</v>
      </c>
      <c r="G1340">
        <v>60</v>
      </c>
    </row>
    <row r="1341" spans="1:7" x14ac:dyDescent="0.2">
      <c r="A1341">
        <f t="shared" si="22"/>
        <v>112</v>
      </c>
      <c r="B1341" t="s">
        <v>6</v>
      </c>
      <c r="C1341">
        <f>IF(data!$B1341&lt;&gt;data!$B1340,1,C1340+1)</f>
        <v>8</v>
      </c>
      <c r="D1341">
        <v>9.6969100130080612</v>
      </c>
      <c r="E1341" t="s">
        <v>13</v>
      </c>
      <c r="F1341" t="s">
        <v>12</v>
      </c>
      <c r="G1341">
        <v>60</v>
      </c>
    </row>
    <row r="1342" spans="1:7" x14ac:dyDescent="0.2">
      <c r="A1342">
        <f t="shared" si="22"/>
        <v>112</v>
      </c>
      <c r="B1342" t="s">
        <v>6</v>
      </c>
      <c r="C1342">
        <f>IF(data!$B1342&lt;&gt;data!$B1341,1,C1341+1)</f>
        <v>9</v>
      </c>
      <c r="D1342">
        <v>8.4457574905606805</v>
      </c>
      <c r="E1342" t="s">
        <v>13</v>
      </c>
      <c r="F1342" t="s">
        <v>12</v>
      </c>
      <c r="G1342">
        <v>60</v>
      </c>
    </row>
    <row r="1343" spans="1:7" x14ac:dyDescent="0.2">
      <c r="A1343">
        <f t="shared" si="22"/>
        <v>112</v>
      </c>
      <c r="B1343" t="s">
        <v>6</v>
      </c>
      <c r="C1343">
        <f>IF(data!$B1343&lt;&gt;data!$B1342,1,C1342+1)</f>
        <v>10</v>
      </c>
      <c r="D1343">
        <v>7.2000000000000064</v>
      </c>
      <c r="E1343" t="s">
        <v>13</v>
      </c>
      <c r="F1343" t="s">
        <v>12</v>
      </c>
      <c r="G1343">
        <v>60</v>
      </c>
    </row>
    <row r="1344" spans="1:7" x14ac:dyDescent="0.2">
      <c r="A1344">
        <f t="shared" si="22"/>
        <v>112</v>
      </c>
      <c r="B1344" t="s">
        <v>6</v>
      </c>
      <c r="C1344">
        <f>IF(data!$B1344&lt;&gt;data!$B1343,1,C1343+1)</f>
        <v>11</v>
      </c>
      <c r="D1344">
        <v>5.9586073148417809</v>
      </c>
      <c r="E1344" t="s">
        <v>13</v>
      </c>
      <c r="F1344" t="s">
        <v>12</v>
      </c>
      <c r="G1344">
        <v>60</v>
      </c>
    </row>
    <row r="1345" spans="1:7" x14ac:dyDescent="0.2">
      <c r="A1345">
        <f t="shared" si="22"/>
        <v>112</v>
      </c>
      <c r="B1345" t="s">
        <v>6</v>
      </c>
      <c r="C1345">
        <f>IF(data!$B1345&lt;&gt;data!$B1344,1,C1344+1)</f>
        <v>12</v>
      </c>
      <c r="D1345">
        <v>4.7208187539523809</v>
      </c>
      <c r="E1345" t="s">
        <v>13</v>
      </c>
      <c r="F1345" t="s">
        <v>12</v>
      </c>
      <c r="G1345">
        <v>60</v>
      </c>
    </row>
    <row r="1346" spans="1:7" x14ac:dyDescent="0.2">
      <c r="A1346">
        <f t="shared" si="22"/>
        <v>113</v>
      </c>
      <c r="B1346" t="s">
        <v>5</v>
      </c>
      <c r="C1346">
        <f>IF(data!$B1346&lt;&gt;data!$B1345,1,C1345+1)</f>
        <v>1</v>
      </c>
      <c r="D1346">
        <v>23</v>
      </c>
      <c r="E1346" t="s">
        <v>7</v>
      </c>
      <c r="F1346" t="s">
        <v>14</v>
      </c>
      <c r="G1346">
        <v>60</v>
      </c>
    </row>
    <row r="1347" spans="1:7" x14ac:dyDescent="0.2">
      <c r="A1347">
        <f t="shared" si="22"/>
        <v>113</v>
      </c>
      <c r="B1347" t="s">
        <v>5</v>
      </c>
      <c r="C1347">
        <f>IF(data!$B1347&lt;&gt;data!$B1346,1,C1346+1)</f>
        <v>2</v>
      </c>
      <c r="D1347">
        <v>22</v>
      </c>
      <c r="E1347" t="s">
        <v>7</v>
      </c>
      <c r="F1347" t="s">
        <v>14</v>
      </c>
      <c r="G1347">
        <v>60</v>
      </c>
    </row>
    <row r="1348" spans="1:7" x14ac:dyDescent="0.2">
      <c r="A1348">
        <f t="shared" si="22"/>
        <v>113</v>
      </c>
      <c r="B1348" t="s">
        <v>5</v>
      </c>
      <c r="C1348">
        <f>IF(data!$B1348&lt;&gt;data!$B1347,1,C1347+1)</f>
        <v>3</v>
      </c>
      <c r="D1348">
        <v>21</v>
      </c>
      <c r="E1348" t="s">
        <v>7</v>
      </c>
      <c r="F1348" t="s">
        <v>14</v>
      </c>
      <c r="G1348">
        <v>60</v>
      </c>
    </row>
    <row r="1349" spans="1:7" x14ac:dyDescent="0.2">
      <c r="A1349">
        <f t="shared" si="22"/>
        <v>113</v>
      </c>
      <c r="B1349" t="s">
        <v>5</v>
      </c>
      <c r="C1349">
        <f>IF(data!$B1349&lt;&gt;data!$B1348,1,C1348+1)</f>
        <v>4</v>
      </c>
      <c r="D1349">
        <v>20</v>
      </c>
      <c r="E1349" t="s">
        <v>7</v>
      </c>
      <c r="F1349" t="s">
        <v>14</v>
      </c>
      <c r="G1349">
        <v>60</v>
      </c>
    </row>
    <row r="1350" spans="1:7" x14ac:dyDescent="0.2">
      <c r="A1350">
        <f t="shared" si="22"/>
        <v>113</v>
      </c>
      <c r="B1350" t="s">
        <v>5</v>
      </c>
      <c r="C1350">
        <f>IF(data!$B1350&lt;&gt;data!$B1349,1,C1349+1)</f>
        <v>5</v>
      </c>
      <c r="D1350">
        <v>19</v>
      </c>
      <c r="E1350" t="s">
        <v>7</v>
      </c>
      <c r="F1350" t="s">
        <v>14</v>
      </c>
      <c r="G1350">
        <v>60</v>
      </c>
    </row>
    <row r="1351" spans="1:7" x14ac:dyDescent="0.2">
      <c r="A1351">
        <f t="shared" si="22"/>
        <v>113</v>
      </c>
      <c r="B1351" t="s">
        <v>5</v>
      </c>
      <c r="C1351">
        <f>IF(data!$B1351&lt;&gt;data!$B1350,1,C1350+1)</f>
        <v>6</v>
      </c>
      <c r="D1351">
        <v>18</v>
      </c>
      <c r="E1351" t="s">
        <v>7</v>
      </c>
      <c r="F1351" t="s">
        <v>14</v>
      </c>
      <c r="G1351">
        <v>60</v>
      </c>
    </row>
    <row r="1352" spans="1:7" x14ac:dyDescent="0.2">
      <c r="A1352">
        <f t="shared" si="22"/>
        <v>113</v>
      </c>
      <c r="B1352" t="s">
        <v>5</v>
      </c>
      <c r="C1352">
        <f>IF(data!$B1352&lt;&gt;data!$B1351,1,C1351+1)</f>
        <v>7</v>
      </c>
      <c r="D1352">
        <v>17</v>
      </c>
      <c r="E1352" t="s">
        <v>7</v>
      </c>
      <c r="F1352" t="s">
        <v>14</v>
      </c>
      <c r="G1352">
        <v>60</v>
      </c>
    </row>
    <row r="1353" spans="1:7" x14ac:dyDescent="0.2">
      <c r="A1353">
        <f t="shared" si="22"/>
        <v>113</v>
      </c>
      <c r="B1353" t="s">
        <v>5</v>
      </c>
      <c r="C1353">
        <f>IF(data!$B1353&lt;&gt;data!$B1352,1,C1352+1)</f>
        <v>8</v>
      </c>
      <c r="D1353">
        <v>16</v>
      </c>
      <c r="E1353" t="s">
        <v>7</v>
      </c>
      <c r="F1353" t="s">
        <v>14</v>
      </c>
      <c r="G1353">
        <v>60</v>
      </c>
    </row>
    <row r="1354" spans="1:7" x14ac:dyDescent="0.2">
      <c r="A1354">
        <f t="shared" si="22"/>
        <v>113</v>
      </c>
      <c r="B1354" t="s">
        <v>5</v>
      </c>
      <c r="C1354">
        <f>IF(data!$B1354&lt;&gt;data!$B1353,1,C1353+1)</f>
        <v>9</v>
      </c>
      <c r="D1354">
        <v>15</v>
      </c>
      <c r="E1354" t="s">
        <v>7</v>
      </c>
      <c r="F1354" t="s">
        <v>14</v>
      </c>
      <c r="G1354">
        <v>60</v>
      </c>
    </row>
    <row r="1355" spans="1:7" x14ac:dyDescent="0.2">
      <c r="A1355">
        <f t="shared" si="22"/>
        <v>113</v>
      </c>
      <c r="B1355" t="s">
        <v>5</v>
      </c>
      <c r="C1355">
        <f>IF(data!$B1355&lt;&gt;data!$B1354,1,C1354+1)</f>
        <v>10</v>
      </c>
      <c r="D1355">
        <v>14</v>
      </c>
      <c r="E1355" t="s">
        <v>7</v>
      </c>
      <c r="F1355" t="s">
        <v>14</v>
      </c>
      <c r="G1355">
        <v>60</v>
      </c>
    </row>
    <row r="1356" spans="1:7" x14ac:dyDescent="0.2">
      <c r="A1356">
        <f t="shared" si="22"/>
        <v>113</v>
      </c>
      <c r="B1356" t="s">
        <v>5</v>
      </c>
      <c r="C1356">
        <f>IF(data!$B1356&lt;&gt;data!$B1355,1,C1355+1)</f>
        <v>11</v>
      </c>
      <c r="D1356">
        <v>13</v>
      </c>
      <c r="E1356" t="s">
        <v>7</v>
      </c>
      <c r="F1356" t="s">
        <v>14</v>
      </c>
      <c r="G1356">
        <v>60</v>
      </c>
    </row>
    <row r="1357" spans="1:7" x14ac:dyDescent="0.2">
      <c r="A1357">
        <f t="shared" si="22"/>
        <v>113</v>
      </c>
      <c r="B1357" t="s">
        <v>5</v>
      </c>
      <c r="C1357">
        <f>IF(data!$B1357&lt;&gt;data!$B1356,1,C1356+1)</f>
        <v>12</v>
      </c>
      <c r="D1357">
        <v>12</v>
      </c>
      <c r="E1357" t="s">
        <v>7</v>
      </c>
      <c r="F1357" t="s">
        <v>14</v>
      </c>
      <c r="G1357">
        <v>60</v>
      </c>
    </row>
    <row r="1358" spans="1:7" x14ac:dyDescent="0.2">
      <c r="A1358">
        <f t="shared" si="22"/>
        <v>114</v>
      </c>
      <c r="B1358" t="s">
        <v>6</v>
      </c>
      <c r="C1358">
        <f>IF(data!$B1358&lt;&gt;data!$B1357,1,C1357+1)</f>
        <v>1</v>
      </c>
      <c r="D1358">
        <v>25</v>
      </c>
      <c r="E1358" t="s">
        <v>7</v>
      </c>
      <c r="F1358" t="s">
        <v>14</v>
      </c>
      <c r="G1358">
        <v>60</v>
      </c>
    </row>
    <row r="1359" spans="1:7" x14ac:dyDescent="0.2">
      <c r="A1359">
        <f t="shared" si="22"/>
        <v>114</v>
      </c>
      <c r="B1359" t="s">
        <v>6</v>
      </c>
      <c r="C1359">
        <f>IF(data!$B1359&lt;&gt;data!$B1358,1,C1358+1)</f>
        <v>2</v>
      </c>
      <c r="D1359">
        <v>23.5</v>
      </c>
      <c r="E1359" t="s">
        <v>7</v>
      </c>
      <c r="F1359" t="s">
        <v>14</v>
      </c>
      <c r="G1359">
        <v>60</v>
      </c>
    </row>
    <row r="1360" spans="1:7" x14ac:dyDescent="0.2">
      <c r="A1360">
        <f t="shared" si="22"/>
        <v>114</v>
      </c>
      <c r="B1360" t="s">
        <v>6</v>
      </c>
      <c r="C1360">
        <f>IF(data!$B1360&lt;&gt;data!$B1359,1,C1359+1)</f>
        <v>3</v>
      </c>
      <c r="D1360">
        <v>22</v>
      </c>
      <c r="E1360" t="s">
        <v>7</v>
      </c>
      <c r="F1360" t="s">
        <v>14</v>
      </c>
      <c r="G1360">
        <v>60</v>
      </c>
    </row>
    <row r="1361" spans="1:7" x14ac:dyDescent="0.2">
      <c r="A1361">
        <f t="shared" si="22"/>
        <v>114</v>
      </c>
      <c r="B1361" t="s">
        <v>6</v>
      </c>
      <c r="C1361">
        <f>IF(data!$B1361&lt;&gt;data!$B1360,1,C1360+1)</f>
        <v>4</v>
      </c>
      <c r="D1361">
        <v>20.5</v>
      </c>
      <c r="E1361" t="s">
        <v>7</v>
      </c>
      <c r="F1361" t="s">
        <v>14</v>
      </c>
      <c r="G1361">
        <v>60</v>
      </c>
    </row>
    <row r="1362" spans="1:7" x14ac:dyDescent="0.2">
      <c r="A1362">
        <f t="shared" si="22"/>
        <v>114</v>
      </c>
      <c r="B1362" t="s">
        <v>6</v>
      </c>
      <c r="C1362">
        <f>IF(data!$B1362&lt;&gt;data!$B1361,1,C1361+1)</f>
        <v>5</v>
      </c>
      <c r="D1362">
        <v>19</v>
      </c>
      <c r="E1362" t="s">
        <v>7</v>
      </c>
      <c r="F1362" t="s">
        <v>14</v>
      </c>
      <c r="G1362">
        <v>60</v>
      </c>
    </row>
    <row r="1363" spans="1:7" x14ac:dyDescent="0.2">
      <c r="A1363">
        <f t="shared" si="22"/>
        <v>114</v>
      </c>
      <c r="B1363" t="s">
        <v>6</v>
      </c>
      <c r="C1363">
        <f>IF(data!$B1363&lt;&gt;data!$B1362,1,C1362+1)</f>
        <v>6</v>
      </c>
      <c r="D1363">
        <v>17.5</v>
      </c>
      <c r="E1363" t="s">
        <v>7</v>
      </c>
      <c r="F1363" t="s">
        <v>14</v>
      </c>
      <c r="G1363">
        <v>60</v>
      </c>
    </row>
    <row r="1364" spans="1:7" x14ac:dyDescent="0.2">
      <c r="A1364">
        <f t="shared" si="22"/>
        <v>114</v>
      </c>
      <c r="B1364" t="s">
        <v>6</v>
      </c>
      <c r="C1364">
        <f>IF(data!$B1364&lt;&gt;data!$B1363,1,C1363+1)</f>
        <v>7</v>
      </c>
      <c r="D1364">
        <v>16</v>
      </c>
      <c r="E1364" t="s">
        <v>7</v>
      </c>
      <c r="F1364" t="s">
        <v>14</v>
      </c>
      <c r="G1364">
        <v>60</v>
      </c>
    </row>
    <row r="1365" spans="1:7" x14ac:dyDescent="0.2">
      <c r="A1365">
        <f t="shared" si="22"/>
        <v>114</v>
      </c>
      <c r="B1365" t="s">
        <v>6</v>
      </c>
      <c r="C1365">
        <f>IF(data!$B1365&lt;&gt;data!$B1364,1,C1364+1)</f>
        <v>8</v>
      </c>
      <c r="D1365">
        <v>14.5</v>
      </c>
      <c r="E1365" t="s">
        <v>7</v>
      </c>
      <c r="F1365" t="s">
        <v>14</v>
      </c>
      <c r="G1365">
        <v>60</v>
      </c>
    </row>
    <row r="1366" spans="1:7" x14ac:dyDescent="0.2">
      <c r="A1366">
        <f t="shared" si="22"/>
        <v>114</v>
      </c>
      <c r="B1366" t="s">
        <v>6</v>
      </c>
      <c r="C1366">
        <f>IF(data!$B1366&lt;&gt;data!$B1365,1,C1365+1)</f>
        <v>9</v>
      </c>
      <c r="D1366">
        <v>13</v>
      </c>
      <c r="E1366" t="s">
        <v>7</v>
      </c>
      <c r="F1366" t="s">
        <v>14</v>
      </c>
      <c r="G1366">
        <v>60</v>
      </c>
    </row>
    <row r="1367" spans="1:7" x14ac:dyDescent="0.2">
      <c r="A1367">
        <f t="shared" si="22"/>
        <v>114</v>
      </c>
      <c r="B1367" t="s">
        <v>6</v>
      </c>
      <c r="C1367">
        <f>IF(data!$B1367&lt;&gt;data!$B1366,1,C1366+1)</f>
        <v>10</v>
      </c>
      <c r="D1367">
        <v>11.5</v>
      </c>
      <c r="E1367" t="s">
        <v>7</v>
      </c>
      <c r="F1367" t="s">
        <v>14</v>
      </c>
      <c r="G1367">
        <v>60</v>
      </c>
    </row>
    <row r="1368" spans="1:7" x14ac:dyDescent="0.2">
      <c r="A1368">
        <f t="shared" si="22"/>
        <v>114</v>
      </c>
      <c r="B1368" t="s">
        <v>6</v>
      </c>
      <c r="C1368">
        <f>IF(data!$B1368&lt;&gt;data!$B1367,1,C1367+1)</f>
        <v>11</v>
      </c>
      <c r="D1368">
        <v>10</v>
      </c>
      <c r="E1368" t="s">
        <v>7</v>
      </c>
      <c r="F1368" t="s">
        <v>14</v>
      </c>
      <c r="G1368">
        <v>60</v>
      </c>
    </row>
    <row r="1369" spans="1:7" x14ac:dyDescent="0.2">
      <c r="A1369">
        <f t="shared" si="22"/>
        <v>114</v>
      </c>
      <c r="B1369" t="s">
        <v>6</v>
      </c>
      <c r="C1369">
        <f>IF(data!$B1369&lt;&gt;data!$B1368,1,C1368+1)</f>
        <v>12</v>
      </c>
      <c r="D1369">
        <v>8.5</v>
      </c>
      <c r="E1369" t="s">
        <v>7</v>
      </c>
      <c r="F1369" t="s">
        <v>14</v>
      </c>
      <c r="G1369">
        <v>60</v>
      </c>
    </row>
    <row r="1370" spans="1:7" x14ac:dyDescent="0.2">
      <c r="A1370">
        <f t="shared" si="22"/>
        <v>115</v>
      </c>
      <c r="B1370" t="s">
        <v>5</v>
      </c>
      <c r="C1370">
        <f>IF(data!$B1370&lt;&gt;data!$B1369,1,C1369+1)</f>
        <v>1</v>
      </c>
      <c r="D1370">
        <v>24</v>
      </c>
      <c r="E1370" t="s">
        <v>13</v>
      </c>
      <c r="F1370" t="s">
        <v>14</v>
      </c>
      <c r="G1370">
        <v>60</v>
      </c>
    </row>
    <row r="1371" spans="1:7" x14ac:dyDescent="0.2">
      <c r="A1371">
        <f t="shared" si="22"/>
        <v>115</v>
      </c>
      <c r="B1371" t="s">
        <v>5</v>
      </c>
      <c r="C1371">
        <f>IF(data!$B1371&lt;&gt;data!$B1370,1,C1370+1)</f>
        <v>2</v>
      </c>
      <c r="D1371">
        <v>23.5</v>
      </c>
      <c r="E1371" t="s">
        <v>13</v>
      </c>
      <c r="F1371" t="s">
        <v>14</v>
      </c>
      <c r="G1371">
        <v>60</v>
      </c>
    </row>
    <row r="1372" spans="1:7" x14ac:dyDescent="0.2">
      <c r="A1372">
        <f t="shared" si="22"/>
        <v>115</v>
      </c>
      <c r="B1372" t="s">
        <v>5</v>
      </c>
      <c r="C1372">
        <f>IF(data!$B1372&lt;&gt;data!$B1371,1,C1371+1)</f>
        <v>3</v>
      </c>
      <c r="D1372">
        <v>23</v>
      </c>
      <c r="E1372" t="s">
        <v>13</v>
      </c>
      <c r="F1372" t="s">
        <v>14</v>
      </c>
      <c r="G1372">
        <v>60</v>
      </c>
    </row>
    <row r="1373" spans="1:7" x14ac:dyDescent="0.2">
      <c r="A1373">
        <f t="shared" si="22"/>
        <v>115</v>
      </c>
      <c r="B1373" t="s">
        <v>5</v>
      </c>
      <c r="C1373">
        <f>IF(data!$B1373&lt;&gt;data!$B1372,1,C1372+1)</f>
        <v>4</v>
      </c>
      <c r="D1373">
        <v>22.5</v>
      </c>
      <c r="E1373" t="s">
        <v>13</v>
      </c>
      <c r="F1373" t="s">
        <v>14</v>
      </c>
      <c r="G1373">
        <v>60</v>
      </c>
    </row>
    <row r="1374" spans="1:7" x14ac:dyDescent="0.2">
      <c r="A1374">
        <f t="shared" si="22"/>
        <v>115</v>
      </c>
      <c r="B1374" t="s">
        <v>5</v>
      </c>
      <c r="C1374">
        <f>IF(data!$B1374&lt;&gt;data!$B1373,1,C1373+1)</f>
        <v>5</v>
      </c>
      <c r="D1374">
        <v>22</v>
      </c>
      <c r="E1374" t="s">
        <v>13</v>
      </c>
      <c r="F1374" t="s">
        <v>14</v>
      </c>
      <c r="G1374">
        <v>60</v>
      </c>
    </row>
    <row r="1375" spans="1:7" x14ac:dyDescent="0.2">
      <c r="A1375">
        <f t="shared" si="22"/>
        <v>115</v>
      </c>
      <c r="B1375" t="s">
        <v>5</v>
      </c>
      <c r="C1375">
        <f>IF(data!$B1375&lt;&gt;data!$B1374,1,C1374+1)</f>
        <v>6</v>
      </c>
      <c r="D1375">
        <v>21.5</v>
      </c>
      <c r="E1375" t="s">
        <v>13</v>
      </c>
      <c r="F1375" t="s">
        <v>14</v>
      </c>
      <c r="G1375">
        <v>60</v>
      </c>
    </row>
    <row r="1376" spans="1:7" x14ac:dyDescent="0.2">
      <c r="A1376">
        <f t="shared" si="22"/>
        <v>115</v>
      </c>
      <c r="B1376" t="s">
        <v>5</v>
      </c>
      <c r="C1376">
        <f>IF(data!$B1376&lt;&gt;data!$B1375,1,C1375+1)</f>
        <v>7</v>
      </c>
      <c r="D1376">
        <v>21</v>
      </c>
      <c r="E1376" t="s">
        <v>13</v>
      </c>
      <c r="F1376" t="s">
        <v>14</v>
      </c>
      <c r="G1376">
        <v>60</v>
      </c>
    </row>
    <row r="1377" spans="1:7" x14ac:dyDescent="0.2">
      <c r="A1377">
        <f t="shared" si="22"/>
        <v>115</v>
      </c>
      <c r="B1377" t="s">
        <v>5</v>
      </c>
      <c r="C1377">
        <f>IF(data!$B1377&lt;&gt;data!$B1376,1,C1376+1)</f>
        <v>8</v>
      </c>
      <c r="D1377">
        <v>20.5</v>
      </c>
      <c r="E1377" t="s">
        <v>13</v>
      </c>
      <c r="F1377" t="s">
        <v>14</v>
      </c>
      <c r="G1377">
        <v>60</v>
      </c>
    </row>
    <row r="1378" spans="1:7" x14ac:dyDescent="0.2">
      <c r="A1378">
        <f t="shared" si="22"/>
        <v>115</v>
      </c>
      <c r="B1378" t="s">
        <v>5</v>
      </c>
      <c r="C1378">
        <f>IF(data!$B1378&lt;&gt;data!$B1377,1,C1377+1)</f>
        <v>9</v>
      </c>
      <c r="D1378">
        <v>20</v>
      </c>
      <c r="E1378" t="s">
        <v>13</v>
      </c>
      <c r="F1378" t="s">
        <v>14</v>
      </c>
      <c r="G1378">
        <v>60</v>
      </c>
    </row>
    <row r="1379" spans="1:7" x14ac:dyDescent="0.2">
      <c r="A1379">
        <f t="shared" ref="A1379:A1442" si="23">IF(B1379=B1378,A1378,A1378+1)</f>
        <v>115</v>
      </c>
      <c r="B1379" t="s">
        <v>5</v>
      </c>
      <c r="C1379">
        <f>IF(data!$B1379&lt;&gt;data!$B1378,1,C1378+1)</f>
        <v>10</v>
      </c>
      <c r="D1379">
        <v>19.5</v>
      </c>
      <c r="E1379" t="s">
        <v>13</v>
      </c>
      <c r="F1379" t="s">
        <v>14</v>
      </c>
      <c r="G1379">
        <v>60</v>
      </c>
    </row>
    <row r="1380" spans="1:7" x14ac:dyDescent="0.2">
      <c r="A1380">
        <f t="shared" si="23"/>
        <v>115</v>
      </c>
      <c r="B1380" t="s">
        <v>5</v>
      </c>
      <c r="C1380">
        <f>IF(data!$B1380&lt;&gt;data!$B1379,1,C1379+1)</f>
        <v>11</v>
      </c>
      <c r="D1380">
        <v>19</v>
      </c>
      <c r="E1380" t="s">
        <v>13</v>
      </c>
      <c r="F1380" t="s">
        <v>14</v>
      </c>
      <c r="G1380">
        <v>60</v>
      </c>
    </row>
    <row r="1381" spans="1:7" x14ac:dyDescent="0.2">
      <c r="A1381">
        <f t="shared" si="23"/>
        <v>115</v>
      </c>
      <c r="B1381" t="s">
        <v>5</v>
      </c>
      <c r="C1381">
        <f>IF(data!$B1381&lt;&gt;data!$B1380,1,C1380+1)</f>
        <v>12</v>
      </c>
      <c r="D1381">
        <v>18.5</v>
      </c>
      <c r="E1381" t="s">
        <v>13</v>
      </c>
      <c r="F1381" t="s">
        <v>14</v>
      </c>
      <c r="G1381">
        <v>60</v>
      </c>
    </row>
    <row r="1382" spans="1:7" x14ac:dyDescent="0.2">
      <c r="A1382">
        <f t="shared" si="23"/>
        <v>116</v>
      </c>
      <c r="B1382" t="s">
        <v>6</v>
      </c>
      <c r="C1382">
        <f>IF(data!$B1382&lt;&gt;data!$B1381,1,C1381+1)</f>
        <v>1</v>
      </c>
      <c r="D1382">
        <v>26</v>
      </c>
      <c r="E1382" t="s">
        <v>13</v>
      </c>
      <c r="F1382" t="s">
        <v>14</v>
      </c>
      <c r="G1382">
        <v>60</v>
      </c>
    </row>
    <row r="1383" spans="1:7" x14ac:dyDescent="0.2">
      <c r="A1383">
        <f t="shared" si="23"/>
        <v>116</v>
      </c>
      <c r="B1383" t="s">
        <v>6</v>
      </c>
      <c r="C1383">
        <f>IF(data!$B1383&lt;&gt;data!$B1382,1,C1382+1)</f>
        <v>2</v>
      </c>
      <c r="D1383">
        <v>24.8</v>
      </c>
      <c r="E1383" t="s">
        <v>13</v>
      </c>
      <c r="F1383" t="s">
        <v>14</v>
      </c>
      <c r="G1383">
        <v>60</v>
      </c>
    </row>
    <row r="1384" spans="1:7" x14ac:dyDescent="0.2">
      <c r="A1384">
        <f t="shared" si="23"/>
        <v>116</v>
      </c>
      <c r="B1384" t="s">
        <v>6</v>
      </c>
      <c r="C1384">
        <f>IF(data!$B1384&lt;&gt;data!$B1383,1,C1383+1)</f>
        <v>3</v>
      </c>
      <c r="D1384">
        <v>23.6</v>
      </c>
      <c r="E1384" t="s">
        <v>13</v>
      </c>
      <c r="F1384" t="s">
        <v>14</v>
      </c>
      <c r="G1384">
        <v>60</v>
      </c>
    </row>
    <row r="1385" spans="1:7" x14ac:dyDescent="0.2">
      <c r="A1385">
        <f t="shared" si="23"/>
        <v>116</v>
      </c>
      <c r="B1385" t="s">
        <v>6</v>
      </c>
      <c r="C1385">
        <f>IF(data!$B1385&lt;&gt;data!$B1384,1,C1384+1)</f>
        <v>4</v>
      </c>
      <c r="D1385">
        <v>22.400000000000002</v>
      </c>
      <c r="E1385" t="s">
        <v>13</v>
      </c>
      <c r="F1385" t="s">
        <v>14</v>
      </c>
      <c r="G1385">
        <v>60</v>
      </c>
    </row>
    <row r="1386" spans="1:7" x14ac:dyDescent="0.2">
      <c r="A1386">
        <f t="shared" si="23"/>
        <v>116</v>
      </c>
      <c r="B1386" t="s">
        <v>6</v>
      </c>
      <c r="C1386">
        <f>IF(data!$B1386&lt;&gt;data!$B1385,1,C1385+1)</f>
        <v>5</v>
      </c>
      <c r="D1386">
        <v>21.200000000000003</v>
      </c>
      <c r="E1386" t="s">
        <v>13</v>
      </c>
      <c r="F1386" t="s">
        <v>14</v>
      </c>
      <c r="G1386">
        <v>60</v>
      </c>
    </row>
    <row r="1387" spans="1:7" x14ac:dyDescent="0.2">
      <c r="A1387">
        <f t="shared" si="23"/>
        <v>116</v>
      </c>
      <c r="B1387" t="s">
        <v>6</v>
      </c>
      <c r="C1387">
        <f>IF(data!$B1387&lt;&gt;data!$B1386,1,C1386+1)</f>
        <v>6</v>
      </c>
      <c r="D1387">
        <v>20.000000000000004</v>
      </c>
      <c r="E1387" t="s">
        <v>13</v>
      </c>
      <c r="F1387" t="s">
        <v>14</v>
      </c>
      <c r="G1387">
        <v>60</v>
      </c>
    </row>
    <row r="1388" spans="1:7" x14ac:dyDescent="0.2">
      <c r="A1388">
        <f t="shared" si="23"/>
        <v>116</v>
      </c>
      <c r="B1388" t="s">
        <v>6</v>
      </c>
      <c r="C1388">
        <f>IF(data!$B1388&lt;&gt;data!$B1387,1,C1387+1)</f>
        <v>7</v>
      </c>
      <c r="D1388">
        <v>18.800000000000004</v>
      </c>
      <c r="E1388" t="s">
        <v>13</v>
      </c>
      <c r="F1388" t="s">
        <v>14</v>
      </c>
      <c r="G1388">
        <v>60</v>
      </c>
    </row>
    <row r="1389" spans="1:7" x14ac:dyDescent="0.2">
      <c r="A1389">
        <f t="shared" si="23"/>
        <v>116</v>
      </c>
      <c r="B1389" t="s">
        <v>6</v>
      </c>
      <c r="C1389">
        <f>IF(data!$B1389&lt;&gt;data!$B1388,1,C1388+1)</f>
        <v>8</v>
      </c>
      <c r="D1389">
        <v>17.600000000000005</v>
      </c>
      <c r="E1389" t="s">
        <v>13</v>
      </c>
      <c r="F1389" t="s">
        <v>14</v>
      </c>
      <c r="G1389">
        <v>60</v>
      </c>
    </row>
    <row r="1390" spans="1:7" x14ac:dyDescent="0.2">
      <c r="A1390">
        <f t="shared" si="23"/>
        <v>116</v>
      </c>
      <c r="B1390" t="s">
        <v>6</v>
      </c>
      <c r="C1390">
        <f>IF(data!$B1390&lt;&gt;data!$B1389,1,C1389+1)</f>
        <v>9</v>
      </c>
      <c r="D1390">
        <v>16.400000000000006</v>
      </c>
      <c r="E1390" t="s">
        <v>13</v>
      </c>
      <c r="F1390" t="s">
        <v>14</v>
      </c>
      <c r="G1390">
        <v>60</v>
      </c>
    </row>
    <row r="1391" spans="1:7" x14ac:dyDescent="0.2">
      <c r="A1391">
        <f t="shared" si="23"/>
        <v>116</v>
      </c>
      <c r="B1391" t="s">
        <v>6</v>
      </c>
      <c r="C1391">
        <f>IF(data!$B1391&lt;&gt;data!$B1390,1,C1390+1)</f>
        <v>10</v>
      </c>
      <c r="D1391">
        <v>15.200000000000006</v>
      </c>
      <c r="E1391" t="s">
        <v>13</v>
      </c>
      <c r="F1391" t="s">
        <v>14</v>
      </c>
      <c r="G1391">
        <v>60</v>
      </c>
    </row>
    <row r="1392" spans="1:7" x14ac:dyDescent="0.2">
      <c r="A1392">
        <f t="shared" si="23"/>
        <v>116</v>
      </c>
      <c r="B1392" t="s">
        <v>6</v>
      </c>
      <c r="C1392">
        <f>IF(data!$B1392&lt;&gt;data!$B1391,1,C1391+1)</f>
        <v>11</v>
      </c>
      <c r="D1392">
        <v>14.000000000000007</v>
      </c>
      <c r="E1392" t="s">
        <v>13</v>
      </c>
      <c r="F1392" t="s">
        <v>14</v>
      </c>
      <c r="G1392">
        <v>60</v>
      </c>
    </row>
    <row r="1393" spans="1:7" x14ac:dyDescent="0.2">
      <c r="A1393">
        <f t="shared" si="23"/>
        <v>116</v>
      </c>
      <c r="B1393" t="s">
        <v>6</v>
      </c>
      <c r="C1393">
        <f>IF(data!$B1393&lt;&gt;data!$B1392,1,C1392+1)</f>
        <v>12</v>
      </c>
      <c r="D1393">
        <v>12.800000000000008</v>
      </c>
      <c r="E1393" t="s">
        <v>13</v>
      </c>
      <c r="F1393" t="s">
        <v>14</v>
      </c>
      <c r="G1393">
        <v>60</v>
      </c>
    </row>
    <row r="1394" spans="1:7" x14ac:dyDescent="0.2">
      <c r="A1394">
        <f t="shared" si="23"/>
        <v>117</v>
      </c>
      <c r="B1394" t="s">
        <v>5</v>
      </c>
      <c r="C1394">
        <f>IF(data!$B1394&lt;&gt;data!$B1393,1,C1393+1)</f>
        <v>1</v>
      </c>
      <c r="D1394">
        <v>23</v>
      </c>
      <c r="E1394" t="s">
        <v>7</v>
      </c>
      <c r="F1394" t="s">
        <v>12</v>
      </c>
      <c r="G1394">
        <v>60</v>
      </c>
    </row>
    <row r="1395" spans="1:7" x14ac:dyDescent="0.2">
      <c r="A1395">
        <f t="shared" si="23"/>
        <v>117</v>
      </c>
      <c r="B1395" t="s">
        <v>5</v>
      </c>
      <c r="C1395">
        <f>IF(data!$B1395&lt;&gt;data!$B1394,1,C1394+1)</f>
        <v>2</v>
      </c>
      <c r="D1395">
        <v>21.698970004336019</v>
      </c>
      <c r="E1395" t="s">
        <v>7</v>
      </c>
      <c r="F1395" t="s">
        <v>12</v>
      </c>
      <c r="G1395">
        <v>60</v>
      </c>
    </row>
    <row r="1396" spans="1:7" x14ac:dyDescent="0.2">
      <c r="A1396">
        <f t="shared" si="23"/>
        <v>117</v>
      </c>
      <c r="B1396" t="s">
        <v>5</v>
      </c>
      <c r="C1396">
        <f>IF(data!$B1396&lt;&gt;data!$B1395,1,C1395+1)</f>
        <v>3</v>
      </c>
      <c r="D1396">
        <v>20.522878745280337</v>
      </c>
      <c r="E1396" t="s">
        <v>7</v>
      </c>
      <c r="F1396" t="s">
        <v>12</v>
      </c>
      <c r="G1396">
        <v>60</v>
      </c>
    </row>
    <row r="1397" spans="1:7" x14ac:dyDescent="0.2">
      <c r="A1397">
        <f t="shared" si="23"/>
        <v>117</v>
      </c>
      <c r="B1397" t="s">
        <v>5</v>
      </c>
      <c r="C1397">
        <f>IF(data!$B1397&lt;&gt;data!$B1396,1,C1396+1)</f>
        <v>4</v>
      </c>
      <c r="D1397">
        <v>19.397940008672037</v>
      </c>
      <c r="E1397" t="s">
        <v>7</v>
      </c>
      <c r="F1397" t="s">
        <v>12</v>
      </c>
      <c r="G1397">
        <v>60</v>
      </c>
    </row>
    <row r="1398" spans="1:7" x14ac:dyDescent="0.2">
      <c r="A1398">
        <f t="shared" si="23"/>
        <v>117</v>
      </c>
      <c r="B1398" t="s">
        <v>5</v>
      </c>
      <c r="C1398">
        <f>IF(data!$B1398&lt;&gt;data!$B1397,1,C1397+1)</f>
        <v>5</v>
      </c>
      <c r="D1398">
        <v>18.301029995663981</v>
      </c>
      <c r="E1398" t="s">
        <v>7</v>
      </c>
      <c r="F1398" t="s">
        <v>12</v>
      </c>
      <c r="G1398">
        <v>60</v>
      </c>
    </row>
    <row r="1399" spans="1:7" x14ac:dyDescent="0.2">
      <c r="A1399">
        <f t="shared" si="23"/>
        <v>117</v>
      </c>
      <c r="B1399" t="s">
        <v>5</v>
      </c>
      <c r="C1399">
        <f>IF(data!$B1399&lt;&gt;data!$B1398,1,C1398+1)</f>
        <v>6</v>
      </c>
      <c r="D1399">
        <v>17.221848749616356</v>
      </c>
      <c r="E1399" t="s">
        <v>7</v>
      </c>
      <c r="F1399" t="s">
        <v>12</v>
      </c>
      <c r="G1399">
        <v>60</v>
      </c>
    </row>
    <row r="1400" spans="1:7" x14ac:dyDescent="0.2">
      <c r="A1400">
        <f t="shared" si="23"/>
        <v>117</v>
      </c>
      <c r="B1400" t="s">
        <v>5</v>
      </c>
      <c r="C1400">
        <f>IF(data!$B1400&lt;&gt;data!$B1399,1,C1399+1)</f>
        <v>7</v>
      </c>
      <c r="D1400">
        <v>16.154901959985743</v>
      </c>
      <c r="E1400" t="s">
        <v>7</v>
      </c>
      <c r="F1400" t="s">
        <v>12</v>
      </c>
      <c r="G1400">
        <v>60</v>
      </c>
    </row>
    <row r="1401" spans="1:7" x14ac:dyDescent="0.2">
      <c r="A1401">
        <f t="shared" si="23"/>
        <v>117</v>
      </c>
      <c r="B1401" t="s">
        <v>5</v>
      </c>
      <c r="C1401">
        <f>IF(data!$B1401&lt;&gt;data!$B1400,1,C1400+1)</f>
        <v>8</v>
      </c>
      <c r="D1401">
        <v>15.096910013008056</v>
      </c>
      <c r="E1401" t="s">
        <v>7</v>
      </c>
      <c r="F1401" t="s">
        <v>12</v>
      </c>
      <c r="G1401">
        <v>60</v>
      </c>
    </row>
    <row r="1402" spans="1:7" x14ac:dyDescent="0.2">
      <c r="A1402">
        <f t="shared" si="23"/>
        <v>117</v>
      </c>
      <c r="B1402" t="s">
        <v>5</v>
      </c>
      <c r="C1402">
        <f>IF(data!$B1402&lt;&gt;data!$B1401,1,C1401+1)</f>
        <v>9</v>
      </c>
      <c r="D1402">
        <v>14.045757490560675</v>
      </c>
      <c r="E1402" t="s">
        <v>7</v>
      </c>
      <c r="F1402" t="s">
        <v>12</v>
      </c>
      <c r="G1402">
        <v>60</v>
      </c>
    </row>
    <row r="1403" spans="1:7" x14ac:dyDescent="0.2">
      <c r="A1403">
        <f t="shared" si="23"/>
        <v>117</v>
      </c>
      <c r="B1403" t="s">
        <v>5</v>
      </c>
      <c r="C1403">
        <f>IF(data!$B1403&lt;&gt;data!$B1402,1,C1402+1)</f>
        <v>10</v>
      </c>
      <c r="D1403">
        <v>13</v>
      </c>
      <c r="E1403" t="s">
        <v>7</v>
      </c>
      <c r="F1403" t="s">
        <v>12</v>
      </c>
      <c r="G1403">
        <v>60</v>
      </c>
    </row>
    <row r="1404" spans="1:7" x14ac:dyDescent="0.2">
      <c r="A1404">
        <f t="shared" si="23"/>
        <v>117</v>
      </c>
      <c r="B1404" t="s">
        <v>5</v>
      </c>
      <c r="C1404">
        <f>IF(data!$B1404&lt;&gt;data!$B1403,1,C1403+1)</f>
        <v>11</v>
      </c>
      <c r="D1404">
        <v>11.958607314841775</v>
      </c>
      <c r="E1404" t="s">
        <v>7</v>
      </c>
      <c r="F1404" t="s">
        <v>12</v>
      </c>
      <c r="G1404">
        <v>60</v>
      </c>
    </row>
    <row r="1405" spans="1:7" x14ac:dyDescent="0.2">
      <c r="A1405">
        <f t="shared" si="23"/>
        <v>117</v>
      </c>
      <c r="B1405" t="s">
        <v>5</v>
      </c>
      <c r="C1405">
        <f>IF(data!$B1405&lt;&gt;data!$B1404,1,C1404+1)</f>
        <v>12</v>
      </c>
      <c r="D1405">
        <v>10.920818753952375</v>
      </c>
      <c r="E1405" t="s">
        <v>7</v>
      </c>
      <c r="F1405" t="s">
        <v>12</v>
      </c>
      <c r="G1405">
        <v>60</v>
      </c>
    </row>
    <row r="1406" spans="1:7" x14ac:dyDescent="0.2">
      <c r="A1406">
        <f t="shared" si="23"/>
        <v>118</v>
      </c>
      <c r="B1406" t="s">
        <v>6</v>
      </c>
      <c r="C1406">
        <f>IF(data!$B1406&lt;&gt;data!$B1405,1,C1405+1)</f>
        <v>1</v>
      </c>
      <c r="D1406">
        <v>25</v>
      </c>
      <c r="E1406" t="s">
        <v>7</v>
      </c>
      <c r="F1406" t="s">
        <v>12</v>
      </c>
      <c r="G1406">
        <v>60</v>
      </c>
    </row>
    <row r="1407" spans="1:7" x14ac:dyDescent="0.2">
      <c r="A1407">
        <f t="shared" si="23"/>
        <v>118</v>
      </c>
      <c r="B1407" t="s">
        <v>6</v>
      </c>
      <c r="C1407">
        <f>IF(data!$B1407&lt;&gt;data!$B1406,1,C1406+1)</f>
        <v>2</v>
      </c>
      <c r="D1407">
        <v>23.198970004336019</v>
      </c>
      <c r="E1407" t="s">
        <v>7</v>
      </c>
      <c r="F1407" t="s">
        <v>12</v>
      </c>
      <c r="G1407">
        <v>60</v>
      </c>
    </row>
    <row r="1408" spans="1:7" x14ac:dyDescent="0.2">
      <c r="A1408">
        <f t="shared" si="23"/>
        <v>118</v>
      </c>
      <c r="B1408" t="s">
        <v>6</v>
      </c>
      <c r="C1408">
        <f>IF(data!$B1408&lt;&gt;data!$B1407,1,C1407+1)</f>
        <v>3</v>
      </c>
      <c r="D1408">
        <v>21.522878745280337</v>
      </c>
      <c r="E1408" t="s">
        <v>7</v>
      </c>
      <c r="F1408" t="s">
        <v>12</v>
      </c>
      <c r="G1408">
        <v>60</v>
      </c>
    </row>
    <row r="1409" spans="1:7" x14ac:dyDescent="0.2">
      <c r="A1409">
        <f t="shared" si="23"/>
        <v>118</v>
      </c>
      <c r="B1409" t="s">
        <v>6</v>
      </c>
      <c r="C1409">
        <f>IF(data!$B1409&lt;&gt;data!$B1408,1,C1408+1)</f>
        <v>4</v>
      </c>
      <c r="D1409">
        <v>19.897940008672037</v>
      </c>
      <c r="E1409" t="s">
        <v>7</v>
      </c>
      <c r="F1409" t="s">
        <v>12</v>
      </c>
      <c r="G1409">
        <v>60</v>
      </c>
    </row>
    <row r="1410" spans="1:7" x14ac:dyDescent="0.2">
      <c r="A1410">
        <f t="shared" si="23"/>
        <v>118</v>
      </c>
      <c r="B1410" t="s">
        <v>6</v>
      </c>
      <c r="C1410">
        <f>IF(data!$B1410&lt;&gt;data!$B1409,1,C1409+1)</f>
        <v>5</v>
      </c>
      <c r="D1410">
        <v>18.301029995663981</v>
      </c>
      <c r="E1410" t="s">
        <v>7</v>
      </c>
      <c r="F1410" t="s">
        <v>12</v>
      </c>
      <c r="G1410">
        <v>60</v>
      </c>
    </row>
    <row r="1411" spans="1:7" x14ac:dyDescent="0.2">
      <c r="A1411">
        <f t="shared" si="23"/>
        <v>118</v>
      </c>
      <c r="B1411" t="s">
        <v>6</v>
      </c>
      <c r="C1411">
        <f>IF(data!$B1411&lt;&gt;data!$B1410,1,C1410+1)</f>
        <v>6</v>
      </c>
      <c r="D1411">
        <v>16.721848749616356</v>
      </c>
      <c r="E1411" t="s">
        <v>7</v>
      </c>
      <c r="F1411" t="s">
        <v>12</v>
      </c>
      <c r="G1411">
        <v>60</v>
      </c>
    </row>
    <row r="1412" spans="1:7" x14ac:dyDescent="0.2">
      <c r="A1412">
        <f t="shared" si="23"/>
        <v>118</v>
      </c>
      <c r="B1412" t="s">
        <v>6</v>
      </c>
      <c r="C1412">
        <f>IF(data!$B1412&lt;&gt;data!$B1411,1,C1411+1)</f>
        <v>7</v>
      </c>
      <c r="D1412">
        <v>15.154901959985743</v>
      </c>
      <c r="E1412" t="s">
        <v>7</v>
      </c>
      <c r="F1412" t="s">
        <v>12</v>
      </c>
      <c r="G1412">
        <v>60</v>
      </c>
    </row>
    <row r="1413" spans="1:7" x14ac:dyDescent="0.2">
      <c r="A1413">
        <f t="shared" si="23"/>
        <v>118</v>
      </c>
      <c r="B1413" t="s">
        <v>6</v>
      </c>
      <c r="C1413">
        <f>IF(data!$B1413&lt;&gt;data!$B1412,1,C1412+1)</f>
        <v>8</v>
      </c>
      <c r="D1413">
        <v>13.596910013008056</v>
      </c>
      <c r="E1413" t="s">
        <v>7</v>
      </c>
      <c r="F1413" t="s">
        <v>12</v>
      </c>
      <c r="G1413">
        <v>60</v>
      </c>
    </row>
    <row r="1414" spans="1:7" x14ac:dyDescent="0.2">
      <c r="A1414">
        <f t="shared" si="23"/>
        <v>118</v>
      </c>
      <c r="B1414" t="s">
        <v>6</v>
      </c>
      <c r="C1414">
        <f>IF(data!$B1414&lt;&gt;data!$B1413,1,C1413+1)</f>
        <v>9</v>
      </c>
      <c r="D1414">
        <v>12.045757490560675</v>
      </c>
      <c r="E1414" t="s">
        <v>7</v>
      </c>
      <c r="F1414" t="s">
        <v>12</v>
      </c>
      <c r="G1414">
        <v>60</v>
      </c>
    </row>
    <row r="1415" spans="1:7" x14ac:dyDescent="0.2">
      <c r="A1415">
        <f t="shared" si="23"/>
        <v>118</v>
      </c>
      <c r="B1415" t="s">
        <v>6</v>
      </c>
      <c r="C1415">
        <f>IF(data!$B1415&lt;&gt;data!$B1414,1,C1414+1)</f>
        <v>10</v>
      </c>
      <c r="D1415">
        <v>10.5</v>
      </c>
      <c r="E1415" t="s">
        <v>7</v>
      </c>
      <c r="F1415" t="s">
        <v>12</v>
      </c>
      <c r="G1415">
        <v>60</v>
      </c>
    </row>
    <row r="1416" spans="1:7" x14ac:dyDescent="0.2">
      <c r="A1416">
        <f t="shared" si="23"/>
        <v>118</v>
      </c>
      <c r="B1416" t="s">
        <v>6</v>
      </c>
      <c r="C1416">
        <f>IF(data!$B1416&lt;&gt;data!$B1415,1,C1415+1)</f>
        <v>11</v>
      </c>
      <c r="D1416">
        <v>8.9586073148417746</v>
      </c>
      <c r="E1416" t="s">
        <v>7</v>
      </c>
      <c r="F1416" t="s">
        <v>12</v>
      </c>
      <c r="G1416">
        <v>60</v>
      </c>
    </row>
    <row r="1417" spans="1:7" x14ac:dyDescent="0.2">
      <c r="A1417">
        <f t="shared" si="23"/>
        <v>118</v>
      </c>
      <c r="B1417" t="s">
        <v>6</v>
      </c>
      <c r="C1417">
        <f>IF(data!$B1417&lt;&gt;data!$B1416,1,C1416+1)</f>
        <v>12</v>
      </c>
      <c r="D1417">
        <v>7.4208187539523749</v>
      </c>
      <c r="E1417" t="s">
        <v>7</v>
      </c>
      <c r="F1417" t="s">
        <v>12</v>
      </c>
      <c r="G1417">
        <v>60</v>
      </c>
    </row>
    <row r="1418" spans="1:7" x14ac:dyDescent="0.2">
      <c r="A1418">
        <f t="shared" si="23"/>
        <v>119</v>
      </c>
      <c r="B1418" t="s">
        <v>5</v>
      </c>
      <c r="C1418">
        <f>IF(data!$B1418&lt;&gt;data!$B1417,1,C1417+1)</f>
        <v>1</v>
      </c>
      <c r="D1418">
        <v>24</v>
      </c>
      <c r="E1418" t="s">
        <v>13</v>
      </c>
      <c r="F1418" t="s">
        <v>12</v>
      </c>
      <c r="G1418">
        <v>60</v>
      </c>
    </row>
    <row r="1419" spans="1:7" x14ac:dyDescent="0.2">
      <c r="A1419">
        <f t="shared" si="23"/>
        <v>119</v>
      </c>
      <c r="B1419" t="s">
        <v>5</v>
      </c>
      <c r="C1419">
        <f>IF(data!$B1419&lt;&gt;data!$B1418,1,C1418+1)</f>
        <v>2</v>
      </c>
      <c r="D1419">
        <v>23.198970004336019</v>
      </c>
      <c r="E1419" t="s">
        <v>13</v>
      </c>
      <c r="F1419" t="s">
        <v>12</v>
      </c>
      <c r="G1419">
        <v>60</v>
      </c>
    </row>
    <row r="1420" spans="1:7" x14ac:dyDescent="0.2">
      <c r="A1420">
        <f t="shared" si="23"/>
        <v>119</v>
      </c>
      <c r="B1420" t="s">
        <v>5</v>
      </c>
      <c r="C1420">
        <f>IF(data!$B1420&lt;&gt;data!$B1419,1,C1419+1)</f>
        <v>3</v>
      </c>
      <c r="D1420">
        <v>22.522878745280337</v>
      </c>
      <c r="E1420" t="s">
        <v>13</v>
      </c>
      <c r="F1420" t="s">
        <v>12</v>
      </c>
      <c r="G1420">
        <v>60</v>
      </c>
    </row>
    <row r="1421" spans="1:7" x14ac:dyDescent="0.2">
      <c r="A1421">
        <f t="shared" si="23"/>
        <v>119</v>
      </c>
      <c r="B1421" t="s">
        <v>5</v>
      </c>
      <c r="C1421">
        <f>IF(data!$B1421&lt;&gt;data!$B1420,1,C1420+1)</f>
        <v>4</v>
      </c>
      <c r="D1421">
        <v>21.897940008672037</v>
      </c>
      <c r="E1421" t="s">
        <v>13</v>
      </c>
      <c r="F1421" t="s">
        <v>12</v>
      </c>
      <c r="G1421">
        <v>60</v>
      </c>
    </row>
    <row r="1422" spans="1:7" x14ac:dyDescent="0.2">
      <c r="A1422">
        <f t="shared" si="23"/>
        <v>119</v>
      </c>
      <c r="B1422" t="s">
        <v>5</v>
      </c>
      <c r="C1422">
        <f>IF(data!$B1422&lt;&gt;data!$B1421,1,C1421+1)</f>
        <v>5</v>
      </c>
      <c r="D1422">
        <v>21.301029995663981</v>
      </c>
      <c r="E1422" t="s">
        <v>13</v>
      </c>
      <c r="F1422" t="s">
        <v>12</v>
      </c>
      <c r="G1422">
        <v>60</v>
      </c>
    </row>
    <row r="1423" spans="1:7" x14ac:dyDescent="0.2">
      <c r="A1423">
        <f t="shared" si="23"/>
        <v>119</v>
      </c>
      <c r="B1423" t="s">
        <v>5</v>
      </c>
      <c r="C1423">
        <f>IF(data!$B1423&lt;&gt;data!$B1422,1,C1422+1)</f>
        <v>6</v>
      </c>
      <c r="D1423">
        <v>20.721848749616356</v>
      </c>
      <c r="E1423" t="s">
        <v>13</v>
      </c>
      <c r="F1423" t="s">
        <v>12</v>
      </c>
      <c r="G1423">
        <v>60</v>
      </c>
    </row>
    <row r="1424" spans="1:7" x14ac:dyDescent="0.2">
      <c r="A1424">
        <f t="shared" si="23"/>
        <v>119</v>
      </c>
      <c r="B1424" t="s">
        <v>5</v>
      </c>
      <c r="C1424">
        <f>IF(data!$B1424&lt;&gt;data!$B1423,1,C1423+1)</f>
        <v>7</v>
      </c>
      <c r="D1424">
        <v>20.154901959985743</v>
      </c>
      <c r="E1424" t="s">
        <v>13</v>
      </c>
      <c r="F1424" t="s">
        <v>12</v>
      </c>
      <c r="G1424">
        <v>60</v>
      </c>
    </row>
    <row r="1425" spans="1:7" x14ac:dyDescent="0.2">
      <c r="A1425">
        <f t="shared" si="23"/>
        <v>119</v>
      </c>
      <c r="B1425" t="s">
        <v>5</v>
      </c>
      <c r="C1425">
        <f>IF(data!$B1425&lt;&gt;data!$B1424,1,C1424+1)</f>
        <v>8</v>
      </c>
      <c r="D1425">
        <v>19.596910013008056</v>
      </c>
      <c r="E1425" t="s">
        <v>13</v>
      </c>
      <c r="F1425" t="s">
        <v>12</v>
      </c>
      <c r="G1425">
        <v>60</v>
      </c>
    </row>
    <row r="1426" spans="1:7" x14ac:dyDescent="0.2">
      <c r="A1426">
        <f t="shared" si="23"/>
        <v>119</v>
      </c>
      <c r="B1426" t="s">
        <v>5</v>
      </c>
      <c r="C1426">
        <f>IF(data!$B1426&lt;&gt;data!$B1425,1,C1425+1)</f>
        <v>9</v>
      </c>
      <c r="D1426">
        <v>19.045757490560675</v>
      </c>
      <c r="E1426" t="s">
        <v>13</v>
      </c>
      <c r="F1426" t="s">
        <v>12</v>
      </c>
      <c r="G1426">
        <v>60</v>
      </c>
    </row>
    <row r="1427" spans="1:7" x14ac:dyDescent="0.2">
      <c r="A1427">
        <f t="shared" si="23"/>
        <v>119</v>
      </c>
      <c r="B1427" t="s">
        <v>5</v>
      </c>
      <c r="C1427">
        <f>IF(data!$B1427&lt;&gt;data!$B1426,1,C1426+1)</f>
        <v>10</v>
      </c>
      <c r="D1427">
        <v>18.5</v>
      </c>
      <c r="E1427" t="s">
        <v>13</v>
      </c>
      <c r="F1427" t="s">
        <v>12</v>
      </c>
      <c r="G1427">
        <v>60</v>
      </c>
    </row>
    <row r="1428" spans="1:7" x14ac:dyDescent="0.2">
      <c r="A1428">
        <f t="shared" si="23"/>
        <v>119</v>
      </c>
      <c r="B1428" t="s">
        <v>5</v>
      </c>
      <c r="C1428">
        <f>IF(data!$B1428&lt;&gt;data!$B1427,1,C1427+1)</f>
        <v>11</v>
      </c>
      <c r="D1428">
        <v>17.958607314841775</v>
      </c>
      <c r="E1428" t="s">
        <v>13</v>
      </c>
      <c r="F1428" t="s">
        <v>12</v>
      </c>
      <c r="G1428">
        <v>60</v>
      </c>
    </row>
    <row r="1429" spans="1:7" x14ac:dyDescent="0.2">
      <c r="A1429">
        <f t="shared" si="23"/>
        <v>119</v>
      </c>
      <c r="B1429" t="s">
        <v>5</v>
      </c>
      <c r="C1429">
        <f>IF(data!$B1429&lt;&gt;data!$B1428,1,C1428+1)</f>
        <v>12</v>
      </c>
      <c r="D1429">
        <v>17.420818753952375</v>
      </c>
      <c r="E1429" t="s">
        <v>13</v>
      </c>
      <c r="F1429" t="s">
        <v>12</v>
      </c>
      <c r="G1429">
        <v>60</v>
      </c>
    </row>
    <row r="1430" spans="1:7" x14ac:dyDescent="0.2">
      <c r="A1430">
        <f t="shared" si="23"/>
        <v>120</v>
      </c>
      <c r="B1430" t="s">
        <v>6</v>
      </c>
      <c r="C1430">
        <f>IF(data!$B1430&lt;&gt;data!$B1429,1,C1429+1)</f>
        <v>1</v>
      </c>
      <c r="D1430">
        <v>26</v>
      </c>
      <c r="E1430" t="s">
        <v>13</v>
      </c>
      <c r="F1430" t="s">
        <v>12</v>
      </c>
      <c r="G1430">
        <v>60</v>
      </c>
    </row>
    <row r="1431" spans="1:7" x14ac:dyDescent="0.2">
      <c r="A1431">
        <f t="shared" si="23"/>
        <v>120</v>
      </c>
      <c r="B1431" t="s">
        <v>6</v>
      </c>
      <c r="C1431">
        <f>IF(data!$B1431&lt;&gt;data!$B1430,1,C1430+1)</f>
        <v>2</v>
      </c>
      <c r="D1431">
        <v>24.498970004336019</v>
      </c>
      <c r="E1431" t="s">
        <v>13</v>
      </c>
      <c r="F1431" t="s">
        <v>12</v>
      </c>
      <c r="G1431">
        <v>60</v>
      </c>
    </row>
    <row r="1432" spans="1:7" x14ac:dyDescent="0.2">
      <c r="A1432">
        <f t="shared" si="23"/>
        <v>120</v>
      </c>
      <c r="B1432" t="s">
        <v>6</v>
      </c>
      <c r="C1432">
        <f>IF(data!$B1432&lt;&gt;data!$B1431,1,C1431+1)</f>
        <v>3</v>
      </c>
      <c r="D1432">
        <v>23.122878745280339</v>
      </c>
      <c r="E1432" t="s">
        <v>13</v>
      </c>
      <c r="F1432" t="s">
        <v>12</v>
      </c>
      <c r="G1432">
        <v>60</v>
      </c>
    </row>
    <row r="1433" spans="1:7" x14ac:dyDescent="0.2">
      <c r="A1433">
        <f t="shared" si="23"/>
        <v>120</v>
      </c>
      <c r="B1433" t="s">
        <v>6</v>
      </c>
      <c r="C1433">
        <f>IF(data!$B1433&lt;&gt;data!$B1432,1,C1432+1)</f>
        <v>4</v>
      </c>
      <c r="D1433">
        <v>21.79794000867204</v>
      </c>
      <c r="E1433" t="s">
        <v>13</v>
      </c>
      <c r="F1433" t="s">
        <v>12</v>
      </c>
      <c r="G1433">
        <v>60</v>
      </c>
    </row>
    <row r="1434" spans="1:7" x14ac:dyDescent="0.2">
      <c r="A1434">
        <f t="shared" si="23"/>
        <v>120</v>
      </c>
      <c r="B1434" t="s">
        <v>6</v>
      </c>
      <c r="C1434">
        <f>IF(data!$B1434&lt;&gt;data!$B1433,1,C1433+1)</f>
        <v>5</v>
      </c>
      <c r="D1434">
        <v>20.501029995663984</v>
      </c>
      <c r="E1434" t="s">
        <v>13</v>
      </c>
      <c r="F1434" t="s">
        <v>12</v>
      </c>
      <c r="G1434">
        <v>60</v>
      </c>
    </row>
    <row r="1435" spans="1:7" x14ac:dyDescent="0.2">
      <c r="A1435">
        <f t="shared" si="23"/>
        <v>120</v>
      </c>
      <c r="B1435" t="s">
        <v>6</v>
      </c>
      <c r="C1435">
        <f>IF(data!$B1435&lt;&gt;data!$B1434,1,C1434+1)</f>
        <v>6</v>
      </c>
      <c r="D1435">
        <v>19.22184874961636</v>
      </c>
      <c r="E1435" t="s">
        <v>13</v>
      </c>
      <c r="F1435" t="s">
        <v>12</v>
      </c>
      <c r="G1435">
        <v>60</v>
      </c>
    </row>
    <row r="1436" spans="1:7" x14ac:dyDescent="0.2">
      <c r="A1436">
        <f t="shared" si="23"/>
        <v>120</v>
      </c>
      <c r="B1436" t="s">
        <v>6</v>
      </c>
      <c r="C1436">
        <f>IF(data!$B1436&lt;&gt;data!$B1435,1,C1435+1)</f>
        <v>7</v>
      </c>
      <c r="D1436">
        <v>17.954901959985747</v>
      </c>
      <c r="E1436" t="s">
        <v>13</v>
      </c>
      <c r="F1436" t="s">
        <v>12</v>
      </c>
      <c r="G1436">
        <v>60</v>
      </c>
    </row>
    <row r="1437" spans="1:7" x14ac:dyDescent="0.2">
      <c r="A1437">
        <f t="shared" si="23"/>
        <v>120</v>
      </c>
      <c r="B1437" t="s">
        <v>6</v>
      </c>
      <c r="C1437">
        <f>IF(data!$B1437&lt;&gt;data!$B1436,1,C1436+1)</f>
        <v>8</v>
      </c>
      <c r="D1437">
        <v>16.696910013008061</v>
      </c>
      <c r="E1437" t="s">
        <v>13</v>
      </c>
      <c r="F1437" t="s">
        <v>12</v>
      </c>
      <c r="G1437">
        <v>60</v>
      </c>
    </row>
    <row r="1438" spans="1:7" x14ac:dyDescent="0.2">
      <c r="A1438">
        <f t="shared" si="23"/>
        <v>120</v>
      </c>
      <c r="B1438" t="s">
        <v>6</v>
      </c>
      <c r="C1438">
        <f>IF(data!$B1438&lt;&gt;data!$B1437,1,C1437+1)</f>
        <v>9</v>
      </c>
      <c r="D1438">
        <v>15.44575749056068</v>
      </c>
      <c r="E1438" t="s">
        <v>13</v>
      </c>
      <c r="F1438" t="s">
        <v>12</v>
      </c>
      <c r="G1438">
        <v>60</v>
      </c>
    </row>
    <row r="1439" spans="1:7" x14ac:dyDescent="0.2">
      <c r="A1439">
        <f t="shared" si="23"/>
        <v>120</v>
      </c>
      <c r="B1439" t="s">
        <v>6</v>
      </c>
      <c r="C1439">
        <f>IF(data!$B1439&lt;&gt;data!$B1438,1,C1438+1)</f>
        <v>10</v>
      </c>
      <c r="D1439">
        <v>14.200000000000006</v>
      </c>
      <c r="E1439" t="s">
        <v>13</v>
      </c>
      <c r="F1439" t="s">
        <v>12</v>
      </c>
      <c r="G1439">
        <v>60</v>
      </c>
    </row>
    <row r="1440" spans="1:7" x14ac:dyDescent="0.2">
      <c r="A1440">
        <f t="shared" si="23"/>
        <v>120</v>
      </c>
      <c r="B1440" t="s">
        <v>6</v>
      </c>
      <c r="C1440">
        <f>IF(data!$B1440&lt;&gt;data!$B1439,1,C1439+1)</f>
        <v>11</v>
      </c>
      <c r="D1440">
        <v>12.958607314841782</v>
      </c>
      <c r="E1440" t="s">
        <v>13</v>
      </c>
      <c r="F1440" t="s">
        <v>12</v>
      </c>
      <c r="G1440">
        <v>60</v>
      </c>
    </row>
    <row r="1441" spans="1:7" x14ac:dyDescent="0.2">
      <c r="A1441">
        <f t="shared" si="23"/>
        <v>120</v>
      </c>
      <c r="B1441" t="s">
        <v>6</v>
      </c>
      <c r="C1441">
        <f>IF(data!$B1441&lt;&gt;data!$B1440,1,C1440+1)</f>
        <v>12</v>
      </c>
      <c r="D1441">
        <v>11.720818753952383</v>
      </c>
      <c r="E1441" t="s">
        <v>13</v>
      </c>
      <c r="F1441" t="s">
        <v>12</v>
      </c>
      <c r="G1441">
        <v>60</v>
      </c>
    </row>
    <row r="1442" spans="1:7" x14ac:dyDescent="0.2">
      <c r="A1442">
        <f t="shared" si="23"/>
        <v>121</v>
      </c>
      <c r="B1442" t="s">
        <v>5</v>
      </c>
      <c r="C1442">
        <f>IF(data!$B1442&lt;&gt;data!$B1441,1,C1441+1)</f>
        <v>1</v>
      </c>
      <c r="D1442">
        <v>21</v>
      </c>
      <c r="E1442" t="s">
        <v>7</v>
      </c>
      <c r="F1442" t="s">
        <v>14</v>
      </c>
      <c r="G1442">
        <v>60</v>
      </c>
    </row>
    <row r="1443" spans="1:7" x14ac:dyDescent="0.2">
      <c r="A1443">
        <f t="shared" ref="A1443:A1506" si="24">IF(B1443=B1442,A1442,A1442+1)</f>
        <v>121</v>
      </c>
      <c r="B1443" t="s">
        <v>5</v>
      </c>
      <c r="C1443">
        <f>IF(data!$B1443&lt;&gt;data!$B1442,1,C1442+1)</f>
        <v>2</v>
      </c>
      <c r="D1443">
        <v>20</v>
      </c>
      <c r="E1443" t="s">
        <v>7</v>
      </c>
      <c r="F1443" t="s">
        <v>14</v>
      </c>
      <c r="G1443">
        <v>60</v>
      </c>
    </row>
    <row r="1444" spans="1:7" x14ac:dyDescent="0.2">
      <c r="A1444">
        <f t="shared" si="24"/>
        <v>121</v>
      </c>
      <c r="B1444" t="s">
        <v>5</v>
      </c>
      <c r="C1444">
        <f>IF(data!$B1444&lt;&gt;data!$B1443,1,C1443+1)</f>
        <v>3</v>
      </c>
      <c r="D1444">
        <v>19</v>
      </c>
      <c r="E1444" t="s">
        <v>7</v>
      </c>
      <c r="F1444" t="s">
        <v>14</v>
      </c>
      <c r="G1444">
        <v>60</v>
      </c>
    </row>
    <row r="1445" spans="1:7" x14ac:dyDescent="0.2">
      <c r="A1445">
        <f t="shared" si="24"/>
        <v>121</v>
      </c>
      <c r="B1445" t="s">
        <v>5</v>
      </c>
      <c r="C1445">
        <f>IF(data!$B1445&lt;&gt;data!$B1444,1,C1444+1)</f>
        <v>4</v>
      </c>
      <c r="D1445">
        <v>18</v>
      </c>
      <c r="E1445" t="s">
        <v>7</v>
      </c>
      <c r="F1445" t="s">
        <v>14</v>
      </c>
      <c r="G1445">
        <v>60</v>
      </c>
    </row>
    <row r="1446" spans="1:7" x14ac:dyDescent="0.2">
      <c r="A1446">
        <f t="shared" si="24"/>
        <v>121</v>
      </c>
      <c r="B1446" t="s">
        <v>5</v>
      </c>
      <c r="C1446">
        <f>IF(data!$B1446&lt;&gt;data!$B1445,1,C1445+1)</f>
        <v>5</v>
      </c>
      <c r="D1446">
        <v>17</v>
      </c>
      <c r="E1446" t="s">
        <v>7</v>
      </c>
      <c r="F1446" t="s">
        <v>14</v>
      </c>
      <c r="G1446">
        <v>60</v>
      </c>
    </row>
    <row r="1447" spans="1:7" x14ac:dyDescent="0.2">
      <c r="A1447">
        <f t="shared" si="24"/>
        <v>121</v>
      </c>
      <c r="B1447" t="s">
        <v>5</v>
      </c>
      <c r="C1447">
        <f>IF(data!$B1447&lt;&gt;data!$B1446,1,C1446+1)</f>
        <v>6</v>
      </c>
      <c r="D1447">
        <v>16</v>
      </c>
      <c r="E1447" t="s">
        <v>7</v>
      </c>
      <c r="F1447" t="s">
        <v>14</v>
      </c>
      <c r="G1447">
        <v>60</v>
      </c>
    </row>
    <row r="1448" spans="1:7" x14ac:dyDescent="0.2">
      <c r="A1448">
        <f t="shared" si="24"/>
        <v>121</v>
      </c>
      <c r="B1448" t="s">
        <v>5</v>
      </c>
      <c r="C1448">
        <f>IF(data!$B1448&lt;&gt;data!$B1447,1,C1447+1)</f>
        <v>7</v>
      </c>
      <c r="D1448">
        <v>15</v>
      </c>
      <c r="E1448" t="s">
        <v>7</v>
      </c>
      <c r="F1448" t="s">
        <v>14</v>
      </c>
      <c r="G1448">
        <v>60</v>
      </c>
    </row>
    <row r="1449" spans="1:7" x14ac:dyDescent="0.2">
      <c r="A1449">
        <f t="shared" si="24"/>
        <v>121</v>
      </c>
      <c r="B1449" t="s">
        <v>5</v>
      </c>
      <c r="C1449">
        <f>IF(data!$B1449&lt;&gt;data!$B1448,1,C1448+1)</f>
        <v>8</v>
      </c>
      <c r="D1449">
        <v>14</v>
      </c>
      <c r="E1449" t="s">
        <v>7</v>
      </c>
      <c r="F1449" t="s">
        <v>14</v>
      </c>
      <c r="G1449">
        <v>60</v>
      </c>
    </row>
    <row r="1450" spans="1:7" x14ac:dyDescent="0.2">
      <c r="A1450">
        <f t="shared" si="24"/>
        <v>121</v>
      </c>
      <c r="B1450" t="s">
        <v>5</v>
      </c>
      <c r="C1450">
        <f>IF(data!$B1450&lt;&gt;data!$B1449,1,C1449+1)</f>
        <v>9</v>
      </c>
      <c r="D1450">
        <v>13</v>
      </c>
      <c r="E1450" t="s">
        <v>7</v>
      </c>
      <c r="F1450" t="s">
        <v>14</v>
      </c>
      <c r="G1450">
        <v>60</v>
      </c>
    </row>
    <row r="1451" spans="1:7" x14ac:dyDescent="0.2">
      <c r="A1451">
        <f t="shared" si="24"/>
        <v>121</v>
      </c>
      <c r="B1451" t="s">
        <v>5</v>
      </c>
      <c r="C1451">
        <f>IF(data!$B1451&lt;&gt;data!$B1450,1,C1450+1)</f>
        <v>10</v>
      </c>
      <c r="D1451">
        <v>12</v>
      </c>
      <c r="E1451" t="s">
        <v>7</v>
      </c>
      <c r="F1451" t="s">
        <v>14</v>
      </c>
      <c r="G1451">
        <v>60</v>
      </c>
    </row>
    <row r="1452" spans="1:7" x14ac:dyDescent="0.2">
      <c r="A1452">
        <f t="shared" si="24"/>
        <v>121</v>
      </c>
      <c r="B1452" t="s">
        <v>5</v>
      </c>
      <c r="C1452">
        <f>IF(data!$B1452&lt;&gt;data!$B1451,1,C1451+1)</f>
        <v>11</v>
      </c>
      <c r="D1452">
        <v>11</v>
      </c>
      <c r="E1452" t="s">
        <v>7</v>
      </c>
      <c r="F1452" t="s">
        <v>14</v>
      </c>
      <c r="G1452">
        <v>60</v>
      </c>
    </row>
    <row r="1453" spans="1:7" x14ac:dyDescent="0.2">
      <c r="A1453">
        <f t="shared" si="24"/>
        <v>121</v>
      </c>
      <c r="B1453" t="s">
        <v>5</v>
      </c>
      <c r="C1453">
        <f>IF(data!$B1453&lt;&gt;data!$B1452,1,C1452+1)</f>
        <v>12</v>
      </c>
      <c r="D1453">
        <v>10</v>
      </c>
      <c r="E1453" t="s">
        <v>7</v>
      </c>
      <c r="F1453" t="s">
        <v>14</v>
      </c>
      <c r="G1453">
        <v>60</v>
      </c>
    </row>
    <row r="1454" spans="1:7" x14ac:dyDescent="0.2">
      <c r="A1454">
        <f t="shared" si="24"/>
        <v>122</v>
      </c>
      <c r="B1454" t="s">
        <v>6</v>
      </c>
      <c r="C1454">
        <f>IF(data!$B1454&lt;&gt;data!$B1453,1,C1453+1)</f>
        <v>1</v>
      </c>
      <c r="D1454">
        <v>23</v>
      </c>
      <c r="E1454" t="s">
        <v>7</v>
      </c>
      <c r="F1454" t="s">
        <v>14</v>
      </c>
      <c r="G1454">
        <v>60</v>
      </c>
    </row>
    <row r="1455" spans="1:7" x14ac:dyDescent="0.2">
      <c r="A1455">
        <f t="shared" si="24"/>
        <v>122</v>
      </c>
      <c r="B1455" t="s">
        <v>6</v>
      </c>
      <c r="C1455">
        <f>IF(data!$B1455&lt;&gt;data!$B1454,1,C1454+1)</f>
        <v>2</v>
      </c>
      <c r="D1455">
        <v>21.5</v>
      </c>
      <c r="E1455" t="s">
        <v>7</v>
      </c>
      <c r="F1455" t="s">
        <v>14</v>
      </c>
      <c r="G1455">
        <v>60</v>
      </c>
    </row>
    <row r="1456" spans="1:7" x14ac:dyDescent="0.2">
      <c r="A1456">
        <f t="shared" si="24"/>
        <v>122</v>
      </c>
      <c r="B1456" t="s">
        <v>6</v>
      </c>
      <c r="C1456">
        <f>IF(data!$B1456&lt;&gt;data!$B1455,1,C1455+1)</f>
        <v>3</v>
      </c>
      <c r="D1456">
        <v>20</v>
      </c>
      <c r="E1456" t="s">
        <v>7</v>
      </c>
      <c r="F1456" t="s">
        <v>14</v>
      </c>
      <c r="G1456">
        <v>60</v>
      </c>
    </row>
    <row r="1457" spans="1:7" x14ac:dyDescent="0.2">
      <c r="A1457">
        <f t="shared" si="24"/>
        <v>122</v>
      </c>
      <c r="B1457" t="s">
        <v>6</v>
      </c>
      <c r="C1457">
        <f>IF(data!$B1457&lt;&gt;data!$B1456,1,C1456+1)</f>
        <v>4</v>
      </c>
      <c r="D1457">
        <v>18.5</v>
      </c>
      <c r="E1457" t="s">
        <v>7</v>
      </c>
      <c r="F1457" t="s">
        <v>14</v>
      </c>
      <c r="G1457">
        <v>60</v>
      </c>
    </row>
    <row r="1458" spans="1:7" x14ac:dyDescent="0.2">
      <c r="A1458">
        <f t="shared" si="24"/>
        <v>122</v>
      </c>
      <c r="B1458" t="s">
        <v>6</v>
      </c>
      <c r="C1458">
        <f>IF(data!$B1458&lt;&gt;data!$B1457,1,C1457+1)</f>
        <v>5</v>
      </c>
      <c r="D1458">
        <v>17</v>
      </c>
      <c r="E1458" t="s">
        <v>7</v>
      </c>
      <c r="F1458" t="s">
        <v>14</v>
      </c>
      <c r="G1458">
        <v>60</v>
      </c>
    </row>
    <row r="1459" spans="1:7" x14ac:dyDescent="0.2">
      <c r="A1459">
        <f t="shared" si="24"/>
        <v>122</v>
      </c>
      <c r="B1459" t="s">
        <v>6</v>
      </c>
      <c r="C1459">
        <f>IF(data!$B1459&lt;&gt;data!$B1458,1,C1458+1)</f>
        <v>6</v>
      </c>
      <c r="D1459">
        <v>15.5</v>
      </c>
      <c r="E1459" t="s">
        <v>7</v>
      </c>
      <c r="F1459" t="s">
        <v>14</v>
      </c>
      <c r="G1459">
        <v>60</v>
      </c>
    </row>
    <row r="1460" spans="1:7" x14ac:dyDescent="0.2">
      <c r="A1460">
        <f t="shared" si="24"/>
        <v>122</v>
      </c>
      <c r="B1460" t="s">
        <v>6</v>
      </c>
      <c r="C1460">
        <f>IF(data!$B1460&lt;&gt;data!$B1459,1,C1459+1)</f>
        <v>7</v>
      </c>
      <c r="D1460">
        <v>14</v>
      </c>
      <c r="E1460" t="s">
        <v>7</v>
      </c>
      <c r="F1460" t="s">
        <v>14</v>
      </c>
      <c r="G1460">
        <v>60</v>
      </c>
    </row>
    <row r="1461" spans="1:7" x14ac:dyDescent="0.2">
      <c r="A1461">
        <f t="shared" si="24"/>
        <v>122</v>
      </c>
      <c r="B1461" t="s">
        <v>6</v>
      </c>
      <c r="C1461">
        <f>IF(data!$B1461&lt;&gt;data!$B1460,1,C1460+1)</f>
        <v>8</v>
      </c>
      <c r="D1461">
        <v>12.5</v>
      </c>
      <c r="E1461" t="s">
        <v>7</v>
      </c>
      <c r="F1461" t="s">
        <v>14</v>
      </c>
      <c r="G1461">
        <v>60</v>
      </c>
    </row>
    <row r="1462" spans="1:7" x14ac:dyDescent="0.2">
      <c r="A1462">
        <f t="shared" si="24"/>
        <v>122</v>
      </c>
      <c r="B1462" t="s">
        <v>6</v>
      </c>
      <c r="C1462">
        <f>IF(data!$B1462&lt;&gt;data!$B1461,1,C1461+1)</f>
        <v>9</v>
      </c>
      <c r="D1462">
        <v>11</v>
      </c>
      <c r="E1462" t="s">
        <v>7</v>
      </c>
      <c r="F1462" t="s">
        <v>14</v>
      </c>
      <c r="G1462">
        <v>60</v>
      </c>
    </row>
    <row r="1463" spans="1:7" x14ac:dyDescent="0.2">
      <c r="A1463">
        <f t="shared" si="24"/>
        <v>122</v>
      </c>
      <c r="B1463" t="s">
        <v>6</v>
      </c>
      <c r="C1463">
        <f>IF(data!$B1463&lt;&gt;data!$B1462,1,C1462+1)</f>
        <v>10</v>
      </c>
      <c r="D1463">
        <v>9.5</v>
      </c>
      <c r="E1463" t="s">
        <v>7</v>
      </c>
      <c r="F1463" t="s">
        <v>14</v>
      </c>
      <c r="G1463">
        <v>60</v>
      </c>
    </row>
    <row r="1464" spans="1:7" x14ac:dyDescent="0.2">
      <c r="A1464">
        <f t="shared" si="24"/>
        <v>122</v>
      </c>
      <c r="B1464" t="s">
        <v>6</v>
      </c>
      <c r="C1464">
        <f>IF(data!$B1464&lt;&gt;data!$B1463,1,C1463+1)</f>
        <v>11</v>
      </c>
      <c r="D1464">
        <v>8</v>
      </c>
      <c r="E1464" t="s">
        <v>7</v>
      </c>
      <c r="F1464" t="s">
        <v>14</v>
      </c>
      <c r="G1464">
        <v>60</v>
      </c>
    </row>
    <row r="1465" spans="1:7" x14ac:dyDescent="0.2">
      <c r="A1465">
        <f t="shared" si="24"/>
        <v>122</v>
      </c>
      <c r="B1465" t="s">
        <v>6</v>
      </c>
      <c r="C1465">
        <f>IF(data!$B1465&lt;&gt;data!$B1464,1,C1464+1)</f>
        <v>12</v>
      </c>
      <c r="D1465">
        <v>6.5</v>
      </c>
      <c r="E1465" t="s">
        <v>7</v>
      </c>
      <c r="F1465" t="s">
        <v>14</v>
      </c>
      <c r="G1465">
        <v>60</v>
      </c>
    </row>
    <row r="1466" spans="1:7" x14ac:dyDescent="0.2">
      <c r="A1466">
        <f t="shared" si="24"/>
        <v>123</v>
      </c>
      <c r="B1466" t="s">
        <v>5</v>
      </c>
      <c r="C1466">
        <f>IF(data!$B1466&lt;&gt;data!$B1465,1,C1465+1)</f>
        <v>1</v>
      </c>
      <c r="D1466">
        <v>22</v>
      </c>
      <c r="E1466" t="s">
        <v>13</v>
      </c>
      <c r="F1466" t="s">
        <v>14</v>
      </c>
      <c r="G1466">
        <v>60</v>
      </c>
    </row>
    <row r="1467" spans="1:7" x14ac:dyDescent="0.2">
      <c r="A1467">
        <f t="shared" si="24"/>
        <v>123</v>
      </c>
      <c r="B1467" t="s">
        <v>5</v>
      </c>
      <c r="C1467">
        <f>IF(data!$B1467&lt;&gt;data!$B1466,1,C1466+1)</f>
        <v>2</v>
      </c>
      <c r="D1467">
        <v>21.5</v>
      </c>
      <c r="E1467" t="s">
        <v>13</v>
      </c>
      <c r="F1467" t="s">
        <v>14</v>
      </c>
      <c r="G1467">
        <v>60</v>
      </c>
    </row>
    <row r="1468" spans="1:7" x14ac:dyDescent="0.2">
      <c r="A1468">
        <f t="shared" si="24"/>
        <v>123</v>
      </c>
      <c r="B1468" t="s">
        <v>5</v>
      </c>
      <c r="C1468">
        <f>IF(data!$B1468&lt;&gt;data!$B1467,1,C1467+1)</f>
        <v>3</v>
      </c>
      <c r="D1468">
        <v>21</v>
      </c>
      <c r="E1468" t="s">
        <v>13</v>
      </c>
      <c r="F1468" t="s">
        <v>14</v>
      </c>
      <c r="G1468">
        <v>60</v>
      </c>
    </row>
    <row r="1469" spans="1:7" x14ac:dyDescent="0.2">
      <c r="A1469">
        <f t="shared" si="24"/>
        <v>123</v>
      </c>
      <c r="B1469" t="s">
        <v>5</v>
      </c>
      <c r="C1469">
        <f>IF(data!$B1469&lt;&gt;data!$B1468,1,C1468+1)</f>
        <v>4</v>
      </c>
      <c r="D1469">
        <v>20.5</v>
      </c>
      <c r="E1469" t="s">
        <v>13</v>
      </c>
      <c r="F1469" t="s">
        <v>14</v>
      </c>
      <c r="G1469">
        <v>60</v>
      </c>
    </row>
    <row r="1470" spans="1:7" x14ac:dyDescent="0.2">
      <c r="A1470">
        <f t="shared" si="24"/>
        <v>123</v>
      </c>
      <c r="B1470" t="s">
        <v>5</v>
      </c>
      <c r="C1470">
        <f>IF(data!$B1470&lt;&gt;data!$B1469,1,C1469+1)</f>
        <v>5</v>
      </c>
      <c r="D1470">
        <v>20</v>
      </c>
      <c r="E1470" t="s">
        <v>13</v>
      </c>
      <c r="F1470" t="s">
        <v>14</v>
      </c>
      <c r="G1470">
        <v>60</v>
      </c>
    </row>
    <row r="1471" spans="1:7" x14ac:dyDescent="0.2">
      <c r="A1471">
        <f t="shared" si="24"/>
        <v>123</v>
      </c>
      <c r="B1471" t="s">
        <v>5</v>
      </c>
      <c r="C1471">
        <f>IF(data!$B1471&lt;&gt;data!$B1470,1,C1470+1)</f>
        <v>6</v>
      </c>
      <c r="D1471">
        <v>19.5</v>
      </c>
      <c r="E1471" t="s">
        <v>13</v>
      </c>
      <c r="F1471" t="s">
        <v>14</v>
      </c>
      <c r="G1471">
        <v>60</v>
      </c>
    </row>
    <row r="1472" spans="1:7" x14ac:dyDescent="0.2">
      <c r="A1472">
        <f t="shared" si="24"/>
        <v>123</v>
      </c>
      <c r="B1472" t="s">
        <v>5</v>
      </c>
      <c r="C1472">
        <f>IF(data!$B1472&lt;&gt;data!$B1471,1,C1471+1)</f>
        <v>7</v>
      </c>
      <c r="D1472">
        <v>19</v>
      </c>
      <c r="E1472" t="s">
        <v>13</v>
      </c>
      <c r="F1472" t="s">
        <v>14</v>
      </c>
      <c r="G1472">
        <v>60</v>
      </c>
    </row>
    <row r="1473" spans="1:7" x14ac:dyDescent="0.2">
      <c r="A1473">
        <f t="shared" si="24"/>
        <v>123</v>
      </c>
      <c r="B1473" t="s">
        <v>5</v>
      </c>
      <c r="C1473">
        <f>IF(data!$B1473&lt;&gt;data!$B1472,1,C1472+1)</f>
        <v>8</v>
      </c>
      <c r="D1473">
        <v>18.5</v>
      </c>
      <c r="E1473" t="s">
        <v>13</v>
      </c>
      <c r="F1473" t="s">
        <v>14</v>
      </c>
      <c r="G1473">
        <v>60</v>
      </c>
    </row>
    <row r="1474" spans="1:7" x14ac:dyDescent="0.2">
      <c r="A1474">
        <f t="shared" si="24"/>
        <v>123</v>
      </c>
      <c r="B1474" t="s">
        <v>5</v>
      </c>
      <c r="C1474">
        <f>IF(data!$B1474&lt;&gt;data!$B1473,1,C1473+1)</f>
        <v>9</v>
      </c>
      <c r="D1474">
        <v>18</v>
      </c>
      <c r="E1474" t="s">
        <v>13</v>
      </c>
      <c r="F1474" t="s">
        <v>14</v>
      </c>
      <c r="G1474">
        <v>60</v>
      </c>
    </row>
    <row r="1475" spans="1:7" x14ac:dyDescent="0.2">
      <c r="A1475">
        <f t="shared" si="24"/>
        <v>123</v>
      </c>
      <c r="B1475" t="s">
        <v>5</v>
      </c>
      <c r="C1475">
        <f>IF(data!$B1475&lt;&gt;data!$B1474,1,C1474+1)</f>
        <v>10</v>
      </c>
      <c r="D1475">
        <v>17.5</v>
      </c>
      <c r="E1475" t="s">
        <v>13</v>
      </c>
      <c r="F1475" t="s">
        <v>14</v>
      </c>
      <c r="G1475">
        <v>60</v>
      </c>
    </row>
    <row r="1476" spans="1:7" x14ac:dyDescent="0.2">
      <c r="A1476">
        <f t="shared" si="24"/>
        <v>123</v>
      </c>
      <c r="B1476" t="s">
        <v>5</v>
      </c>
      <c r="C1476">
        <f>IF(data!$B1476&lt;&gt;data!$B1475,1,C1475+1)</f>
        <v>11</v>
      </c>
      <c r="D1476">
        <v>17</v>
      </c>
      <c r="E1476" t="s">
        <v>13</v>
      </c>
      <c r="F1476" t="s">
        <v>14</v>
      </c>
      <c r="G1476">
        <v>60</v>
      </c>
    </row>
    <row r="1477" spans="1:7" x14ac:dyDescent="0.2">
      <c r="A1477">
        <f t="shared" si="24"/>
        <v>123</v>
      </c>
      <c r="B1477" t="s">
        <v>5</v>
      </c>
      <c r="C1477">
        <f>IF(data!$B1477&lt;&gt;data!$B1476,1,C1476+1)</f>
        <v>12</v>
      </c>
      <c r="D1477">
        <v>16.5</v>
      </c>
      <c r="E1477" t="s">
        <v>13</v>
      </c>
      <c r="F1477" t="s">
        <v>14</v>
      </c>
      <c r="G1477">
        <v>60</v>
      </c>
    </row>
    <row r="1478" spans="1:7" x14ac:dyDescent="0.2">
      <c r="A1478">
        <f t="shared" si="24"/>
        <v>124</v>
      </c>
      <c r="B1478" t="s">
        <v>6</v>
      </c>
      <c r="C1478">
        <f>IF(data!$B1478&lt;&gt;data!$B1477,1,C1477+1)</f>
        <v>1</v>
      </c>
      <c r="D1478">
        <v>24</v>
      </c>
      <c r="E1478" t="s">
        <v>13</v>
      </c>
      <c r="F1478" t="s">
        <v>14</v>
      </c>
      <c r="G1478">
        <v>60</v>
      </c>
    </row>
    <row r="1479" spans="1:7" x14ac:dyDescent="0.2">
      <c r="A1479">
        <f t="shared" si="24"/>
        <v>124</v>
      </c>
      <c r="B1479" t="s">
        <v>6</v>
      </c>
      <c r="C1479">
        <f>IF(data!$B1479&lt;&gt;data!$B1478,1,C1478+1)</f>
        <v>2</v>
      </c>
      <c r="D1479">
        <v>22.8</v>
      </c>
      <c r="E1479" t="s">
        <v>13</v>
      </c>
      <c r="F1479" t="s">
        <v>14</v>
      </c>
      <c r="G1479">
        <v>60</v>
      </c>
    </row>
    <row r="1480" spans="1:7" x14ac:dyDescent="0.2">
      <c r="A1480">
        <f t="shared" si="24"/>
        <v>124</v>
      </c>
      <c r="B1480" t="s">
        <v>6</v>
      </c>
      <c r="C1480">
        <f>IF(data!$B1480&lt;&gt;data!$B1479,1,C1479+1)</f>
        <v>3</v>
      </c>
      <c r="D1480">
        <v>21.6</v>
      </c>
      <c r="E1480" t="s">
        <v>13</v>
      </c>
      <c r="F1480" t="s">
        <v>14</v>
      </c>
      <c r="G1480">
        <v>60</v>
      </c>
    </row>
    <row r="1481" spans="1:7" x14ac:dyDescent="0.2">
      <c r="A1481">
        <f t="shared" si="24"/>
        <v>124</v>
      </c>
      <c r="B1481" t="s">
        <v>6</v>
      </c>
      <c r="C1481">
        <f>IF(data!$B1481&lt;&gt;data!$B1480,1,C1480+1)</f>
        <v>4</v>
      </c>
      <c r="D1481">
        <v>20.400000000000002</v>
      </c>
      <c r="E1481" t="s">
        <v>13</v>
      </c>
      <c r="F1481" t="s">
        <v>14</v>
      </c>
      <c r="G1481">
        <v>60</v>
      </c>
    </row>
    <row r="1482" spans="1:7" x14ac:dyDescent="0.2">
      <c r="A1482">
        <f t="shared" si="24"/>
        <v>124</v>
      </c>
      <c r="B1482" t="s">
        <v>6</v>
      </c>
      <c r="C1482">
        <f>IF(data!$B1482&lt;&gt;data!$B1481,1,C1481+1)</f>
        <v>5</v>
      </c>
      <c r="D1482">
        <v>19.200000000000003</v>
      </c>
      <c r="E1482" t="s">
        <v>13</v>
      </c>
      <c r="F1482" t="s">
        <v>14</v>
      </c>
      <c r="G1482">
        <v>60</v>
      </c>
    </row>
    <row r="1483" spans="1:7" x14ac:dyDescent="0.2">
      <c r="A1483">
        <f t="shared" si="24"/>
        <v>124</v>
      </c>
      <c r="B1483" t="s">
        <v>6</v>
      </c>
      <c r="C1483">
        <f>IF(data!$B1483&lt;&gt;data!$B1482,1,C1482+1)</f>
        <v>6</v>
      </c>
      <c r="D1483">
        <v>18.000000000000004</v>
      </c>
      <c r="E1483" t="s">
        <v>13</v>
      </c>
      <c r="F1483" t="s">
        <v>14</v>
      </c>
      <c r="G1483">
        <v>60</v>
      </c>
    </row>
    <row r="1484" spans="1:7" x14ac:dyDescent="0.2">
      <c r="A1484">
        <f t="shared" si="24"/>
        <v>124</v>
      </c>
      <c r="B1484" t="s">
        <v>6</v>
      </c>
      <c r="C1484">
        <f>IF(data!$B1484&lt;&gt;data!$B1483,1,C1483+1)</f>
        <v>7</v>
      </c>
      <c r="D1484">
        <v>16.800000000000004</v>
      </c>
      <c r="E1484" t="s">
        <v>13</v>
      </c>
      <c r="F1484" t="s">
        <v>14</v>
      </c>
      <c r="G1484">
        <v>60</v>
      </c>
    </row>
    <row r="1485" spans="1:7" x14ac:dyDescent="0.2">
      <c r="A1485">
        <f t="shared" si="24"/>
        <v>124</v>
      </c>
      <c r="B1485" t="s">
        <v>6</v>
      </c>
      <c r="C1485">
        <f>IF(data!$B1485&lt;&gt;data!$B1484,1,C1484+1)</f>
        <v>8</v>
      </c>
      <c r="D1485">
        <v>15.600000000000005</v>
      </c>
      <c r="E1485" t="s">
        <v>13</v>
      </c>
      <c r="F1485" t="s">
        <v>14</v>
      </c>
      <c r="G1485">
        <v>60</v>
      </c>
    </row>
    <row r="1486" spans="1:7" x14ac:dyDescent="0.2">
      <c r="A1486">
        <f t="shared" si="24"/>
        <v>124</v>
      </c>
      <c r="B1486" t="s">
        <v>6</v>
      </c>
      <c r="C1486">
        <f>IF(data!$B1486&lt;&gt;data!$B1485,1,C1485+1)</f>
        <v>9</v>
      </c>
      <c r="D1486">
        <v>14.400000000000006</v>
      </c>
      <c r="E1486" t="s">
        <v>13</v>
      </c>
      <c r="F1486" t="s">
        <v>14</v>
      </c>
      <c r="G1486">
        <v>60</v>
      </c>
    </row>
    <row r="1487" spans="1:7" x14ac:dyDescent="0.2">
      <c r="A1487">
        <f t="shared" si="24"/>
        <v>124</v>
      </c>
      <c r="B1487" t="s">
        <v>6</v>
      </c>
      <c r="C1487">
        <f>IF(data!$B1487&lt;&gt;data!$B1486,1,C1486+1)</f>
        <v>10</v>
      </c>
      <c r="D1487">
        <v>13.200000000000006</v>
      </c>
      <c r="E1487" t="s">
        <v>13</v>
      </c>
      <c r="F1487" t="s">
        <v>14</v>
      </c>
      <c r="G1487">
        <v>60</v>
      </c>
    </row>
    <row r="1488" spans="1:7" x14ac:dyDescent="0.2">
      <c r="A1488">
        <f t="shared" si="24"/>
        <v>124</v>
      </c>
      <c r="B1488" t="s">
        <v>6</v>
      </c>
      <c r="C1488">
        <f>IF(data!$B1488&lt;&gt;data!$B1487,1,C1487+1)</f>
        <v>11</v>
      </c>
      <c r="D1488">
        <v>12.000000000000007</v>
      </c>
      <c r="E1488" t="s">
        <v>13</v>
      </c>
      <c r="F1488" t="s">
        <v>14</v>
      </c>
      <c r="G1488">
        <v>60</v>
      </c>
    </row>
    <row r="1489" spans="1:7" x14ac:dyDescent="0.2">
      <c r="A1489">
        <f t="shared" si="24"/>
        <v>124</v>
      </c>
      <c r="B1489" t="s">
        <v>6</v>
      </c>
      <c r="C1489">
        <f>IF(data!$B1489&lt;&gt;data!$B1488,1,C1488+1)</f>
        <v>12</v>
      </c>
      <c r="D1489">
        <v>10.800000000000008</v>
      </c>
      <c r="E1489" t="s">
        <v>13</v>
      </c>
      <c r="F1489" t="s">
        <v>14</v>
      </c>
      <c r="G1489">
        <v>60</v>
      </c>
    </row>
    <row r="1490" spans="1:7" x14ac:dyDescent="0.2">
      <c r="A1490">
        <f t="shared" si="24"/>
        <v>125</v>
      </c>
      <c r="B1490" t="s">
        <v>5</v>
      </c>
      <c r="C1490">
        <f>IF(data!$B1490&lt;&gt;data!$B1489,1,C1489+1)</f>
        <v>1</v>
      </c>
      <c r="D1490">
        <v>21</v>
      </c>
      <c r="E1490" t="s">
        <v>7</v>
      </c>
      <c r="F1490" t="s">
        <v>12</v>
      </c>
      <c r="G1490">
        <v>60</v>
      </c>
    </row>
    <row r="1491" spans="1:7" x14ac:dyDescent="0.2">
      <c r="A1491">
        <f t="shared" si="24"/>
        <v>125</v>
      </c>
      <c r="B1491" t="s">
        <v>5</v>
      </c>
      <c r="C1491">
        <f>IF(data!$B1491&lt;&gt;data!$B1490,1,C1490+1)</f>
        <v>2</v>
      </c>
      <c r="D1491">
        <v>19.698970004336019</v>
      </c>
      <c r="E1491" t="s">
        <v>7</v>
      </c>
      <c r="F1491" t="s">
        <v>12</v>
      </c>
      <c r="G1491">
        <v>60</v>
      </c>
    </row>
    <row r="1492" spans="1:7" x14ac:dyDescent="0.2">
      <c r="A1492">
        <f t="shared" si="24"/>
        <v>125</v>
      </c>
      <c r="B1492" t="s">
        <v>5</v>
      </c>
      <c r="C1492">
        <f>IF(data!$B1492&lt;&gt;data!$B1491,1,C1491+1)</f>
        <v>3</v>
      </c>
      <c r="D1492">
        <v>18.522878745280337</v>
      </c>
      <c r="E1492" t="s">
        <v>7</v>
      </c>
      <c r="F1492" t="s">
        <v>12</v>
      </c>
      <c r="G1492">
        <v>60</v>
      </c>
    </row>
    <row r="1493" spans="1:7" x14ac:dyDescent="0.2">
      <c r="A1493">
        <f t="shared" si="24"/>
        <v>125</v>
      </c>
      <c r="B1493" t="s">
        <v>5</v>
      </c>
      <c r="C1493">
        <f>IF(data!$B1493&lt;&gt;data!$B1492,1,C1492+1)</f>
        <v>4</v>
      </c>
      <c r="D1493">
        <v>17.397940008672037</v>
      </c>
      <c r="E1493" t="s">
        <v>7</v>
      </c>
      <c r="F1493" t="s">
        <v>12</v>
      </c>
      <c r="G1493">
        <v>60</v>
      </c>
    </row>
    <row r="1494" spans="1:7" x14ac:dyDescent="0.2">
      <c r="A1494">
        <f t="shared" si="24"/>
        <v>125</v>
      </c>
      <c r="B1494" t="s">
        <v>5</v>
      </c>
      <c r="C1494">
        <f>IF(data!$B1494&lt;&gt;data!$B1493,1,C1493+1)</f>
        <v>5</v>
      </c>
      <c r="D1494">
        <v>16.301029995663981</v>
      </c>
      <c r="E1494" t="s">
        <v>7</v>
      </c>
      <c r="F1494" t="s">
        <v>12</v>
      </c>
      <c r="G1494">
        <v>60</v>
      </c>
    </row>
    <row r="1495" spans="1:7" x14ac:dyDescent="0.2">
      <c r="A1495">
        <f t="shared" si="24"/>
        <v>125</v>
      </c>
      <c r="B1495" t="s">
        <v>5</v>
      </c>
      <c r="C1495">
        <f>IF(data!$B1495&lt;&gt;data!$B1494,1,C1494+1)</f>
        <v>6</v>
      </c>
      <c r="D1495">
        <v>15.221848749616356</v>
      </c>
      <c r="E1495" t="s">
        <v>7</v>
      </c>
      <c r="F1495" t="s">
        <v>12</v>
      </c>
      <c r="G1495">
        <v>60</v>
      </c>
    </row>
    <row r="1496" spans="1:7" x14ac:dyDescent="0.2">
      <c r="A1496">
        <f t="shared" si="24"/>
        <v>125</v>
      </c>
      <c r="B1496" t="s">
        <v>5</v>
      </c>
      <c r="C1496">
        <f>IF(data!$B1496&lt;&gt;data!$B1495,1,C1495+1)</f>
        <v>7</v>
      </c>
      <c r="D1496">
        <v>14.154901959985743</v>
      </c>
      <c r="E1496" t="s">
        <v>7</v>
      </c>
      <c r="F1496" t="s">
        <v>12</v>
      </c>
      <c r="G1496">
        <v>60</v>
      </c>
    </row>
    <row r="1497" spans="1:7" x14ac:dyDescent="0.2">
      <c r="A1497">
        <f t="shared" si="24"/>
        <v>125</v>
      </c>
      <c r="B1497" t="s">
        <v>5</v>
      </c>
      <c r="C1497">
        <f>IF(data!$B1497&lt;&gt;data!$B1496,1,C1496+1)</f>
        <v>8</v>
      </c>
      <c r="D1497">
        <v>13.096910013008056</v>
      </c>
      <c r="E1497" t="s">
        <v>7</v>
      </c>
      <c r="F1497" t="s">
        <v>12</v>
      </c>
      <c r="G1497">
        <v>60</v>
      </c>
    </row>
    <row r="1498" spans="1:7" x14ac:dyDescent="0.2">
      <c r="A1498">
        <f t="shared" si="24"/>
        <v>125</v>
      </c>
      <c r="B1498" t="s">
        <v>5</v>
      </c>
      <c r="C1498">
        <f>IF(data!$B1498&lt;&gt;data!$B1497,1,C1497+1)</f>
        <v>9</v>
      </c>
      <c r="D1498">
        <v>12.045757490560675</v>
      </c>
      <c r="E1498" t="s">
        <v>7</v>
      </c>
      <c r="F1498" t="s">
        <v>12</v>
      </c>
      <c r="G1498">
        <v>60</v>
      </c>
    </row>
    <row r="1499" spans="1:7" x14ac:dyDescent="0.2">
      <c r="A1499">
        <f t="shared" si="24"/>
        <v>125</v>
      </c>
      <c r="B1499" t="s">
        <v>5</v>
      </c>
      <c r="C1499">
        <f>IF(data!$B1499&lt;&gt;data!$B1498,1,C1498+1)</f>
        <v>10</v>
      </c>
      <c r="D1499">
        <v>11</v>
      </c>
      <c r="E1499" t="s">
        <v>7</v>
      </c>
      <c r="F1499" t="s">
        <v>12</v>
      </c>
      <c r="G1499">
        <v>60</v>
      </c>
    </row>
    <row r="1500" spans="1:7" x14ac:dyDescent="0.2">
      <c r="A1500">
        <f t="shared" si="24"/>
        <v>125</v>
      </c>
      <c r="B1500" t="s">
        <v>5</v>
      </c>
      <c r="C1500">
        <f>IF(data!$B1500&lt;&gt;data!$B1499,1,C1499+1)</f>
        <v>11</v>
      </c>
      <c r="D1500">
        <v>9.9586073148417746</v>
      </c>
      <c r="E1500" t="s">
        <v>7</v>
      </c>
      <c r="F1500" t="s">
        <v>12</v>
      </c>
      <c r="G1500">
        <v>60</v>
      </c>
    </row>
    <row r="1501" spans="1:7" x14ac:dyDescent="0.2">
      <c r="A1501">
        <f t="shared" si="24"/>
        <v>125</v>
      </c>
      <c r="B1501" t="s">
        <v>5</v>
      </c>
      <c r="C1501">
        <f>IF(data!$B1501&lt;&gt;data!$B1500,1,C1500+1)</f>
        <v>12</v>
      </c>
      <c r="D1501">
        <v>8.9208187539523749</v>
      </c>
      <c r="E1501" t="s">
        <v>7</v>
      </c>
      <c r="F1501" t="s">
        <v>12</v>
      </c>
      <c r="G1501">
        <v>60</v>
      </c>
    </row>
    <row r="1502" spans="1:7" x14ac:dyDescent="0.2">
      <c r="A1502">
        <f t="shared" si="24"/>
        <v>126</v>
      </c>
      <c r="B1502" t="s">
        <v>6</v>
      </c>
      <c r="C1502">
        <f>IF(data!$B1502&lt;&gt;data!$B1501,1,C1501+1)</f>
        <v>1</v>
      </c>
      <c r="D1502">
        <v>23</v>
      </c>
      <c r="E1502" t="s">
        <v>7</v>
      </c>
      <c r="F1502" t="s">
        <v>12</v>
      </c>
      <c r="G1502">
        <v>60</v>
      </c>
    </row>
    <row r="1503" spans="1:7" x14ac:dyDescent="0.2">
      <c r="A1503">
        <f t="shared" si="24"/>
        <v>126</v>
      </c>
      <c r="B1503" t="s">
        <v>6</v>
      </c>
      <c r="C1503">
        <f>IF(data!$B1503&lt;&gt;data!$B1502,1,C1502+1)</f>
        <v>2</v>
      </c>
      <c r="D1503">
        <v>21.198970004336019</v>
      </c>
      <c r="E1503" t="s">
        <v>7</v>
      </c>
      <c r="F1503" t="s">
        <v>12</v>
      </c>
      <c r="G1503">
        <v>60</v>
      </c>
    </row>
    <row r="1504" spans="1:7" x14ac:dyDescent="0.2">
      <c r="A1504">
        <f t="shared" si="24"/>
        <v>126</v>
      </c>
      <c r="B1504" t="s">
        <v>6</v>
      </c>
      <c r="C1504">
        <f>IF(data!$B1504&lt;&gt;data!$B1503,1,C1503+1)</f>
        <v>3</v>
      </c>
      <c r="D1504">
        <v>19.522878745280337</v>
      </c>
      <c r="E1504" t="s">
        <v>7</v>
      </c>
      <c r="F1504" t="s">
        <v>12</v>
      </c>
      <c r="G1504">
        <v>60</v>
      </c>
    </row>
    <row r="1505" spans="1:7" x14ac:dyDescent="0.2">
      <c r="A1505">
        <f t="shared" si="24"/>
        <v>126</v>
      </c>
      <c r="B1505" t="s">
        <v>6</v>
      </c>
      <c r="C1505">
        <f>IF(data!$B1505&lt;&gt;data!$B1504,1,C1504+1)</f>
        <v>4</v>
      </c>
      <c r="D1505">
        <v>17.897940008672037</v>
      </c>
      <c r="E1505" t="s">
        <v>7</v>
      </c>
      <c r="F1505" t="s">
        <v>12</v>
      </c>
      <c r="G1505">
        <v>60</v>
      </c>
    </row>
    <row r="1506" spans="1:7" x14ac:dyDescent="0.2">
      <c r="A1506">
        <f t="shared" si="24"/>
        <v>126</v>
      </c>
      <c r="B1506" t="s">
        <v>6</v>
      </c>
      <c r="C1506">
        <f>IF(data!$B1506&lt;&gt;data!$B1505,1,C1505+1)</f>
        <v>5</v>
      </c>
      <c r="D1506">
        <v>16.301029995663981</v>
      </c>
      <c r="E1506" t="s">
        <v>7</v>
      </c>
      <c r="F1506" t="s">
        <v>12</v>
      </c>
      <c r="G1506">
        <v>60</v>
      </c>
    </row>
    <row r="1507" spans="1:7" x14ac:dyDescent="0.2">
      <c r="A1507">
        <f t="shared" ref="A1507:A1570" si="25">IF(B1507=B1506,A1506,A1506+1)</f>
        <v>126</v>
      </c>
      <c r="B1507" t="s">
        <v>6</v>
      </c>
      <c r="C1507">
        <f>IF(data!$B1507&lt;&gt;data!$B1506,1,C1506+1)</f>
        <v>6</v>
      </c>
      <c r="D1507">
        <v>14.721848749616356</v>
      </c>
      <c r="E1507" t="s">
        <v>7</v>
      </c>
      <c r="F1507" t="s">
        <v>12</v>
      </c>
      <c r="G1507">
        <v>60</v>
      </c>
    </row>
    <row r="1508" spans="1:7" x14ac:dyDescent="0.2">
      <c r="A1508">
        <f t="shared" si="25"/>
        <v>126</v>
      </c>
      <c r="B1508" t="s">
        <v>6</v>
      </c>
      <c r="C1508">
        <f>IF(data!$B1508&lt;&gt;data!$B1507,1,C1507+1)</f>
        <v>7</v>
      </c>
      <c r="D1508">
        <v>13.154901959985743</v>
      </c>
      <c r="E1508" t="s">
        <v>7</v>
      </c>
      <c r="F1508" t="s">
        <v>12</v>
      </c>
      <c r="G1508">
        <v>60</v>
      </c>
    </row>
    <row r="1509" spans="1:7" x14ac:dyDescent="0.2">
      <c r="A1509">
        <f t="shared" si="25"/>
        <v>126</v>
      </c>
      <c r="B1509" t="s">
        <v>6</v>
      </c>
      <c r="C1509">
        <f>IF(data!$B1509&lt;&gt;data!$B1508,1,C1508+1)</f>
        <v>8</v>
      </c>
      <c r="D1509">
        <v>11.596910013008056</v>
      </c>
      <c r="E1509" t="s">
        <v>7</v>
      </c>
      <c r="F1509" t="s">
        <v>12</v>
      </c>
      <c r="G1509">
        <v>60</v>
      </c>
    </row>
    <row r="1510" spans="1:7" x14ac:dyDescent="0.2">
      <c r="A1510">
        <f t="shared" si="25"/>
        <v>126</v>
      </c>
      <c r="B1510" t="s">
        <v>6</v>
      </c>
      <c r="C1510">
        <f>IF(data!$B1510&lt;&gt;data!$B1509,1,C1509+1)</f>
        <v>9</v>
      </c>
      <c r="D1510">
        <v>10.045757490560675</v>
      </c>
      <c r="E1510" t="s">
        <v>7</v>
      </c>
      <c r="F1510" t="s">
        <v>12</v>
      </c>
      <c r="G1510">
        <v>60</v>
      </c>
    </row>
    <row r="1511" spans="1:7" x14ac:dyDescent="0.2">
      <c r="A1511">
        <f t="shared" si="25"/>
        <v>126</v>
      </c>
      <c r="B1511" t="s">
        <v>6</v>
      </c>
      <c r="C1511">
        <f>IF(data!$B1511&lt;&gt;data!$B1510,1,C1510+1)</f>
        <v>10</v>
      </c>
      <c r="D1511">
        <v>8.5</v>
      </c>
      <c r="E1511" t="s">
        <v>7</v>
      </c>
      <c r="F1511" t="s">
        <v>12</v>
      </c>
      <c r="G1511">
        <v>60</v>
      </c>
    </row>
    <row r="1512" spans="1:7" x14ac:dyDescent="0.2">
      <c r="A1512">
        <f t="shared" si="25"/>
        <v>126</v>
      </c>
      <c r="B1512" t="s">
        <v>6</v>
      </c>
      <c r="C1512">
        <f>IF(data!$B1512&lt;&gt;data!$B1511,1,C1511+1)</f>
        <v>11</v>
      </c>
      <c r="D1512">
        <v>6.9586073148417746</v>
      </c>
      <c r="E1512" t="s">
        <v>7</v>
      </c>
      <c r="F1512" t="s">
        <v>12</v>
      </c>
      <c r="G1512">
        <v>60</v>
      </c>
    </row>
    <row r="1513" spans="1:7" x14ac:dyDescent="0.2">
      <c r="A1513">
        <f t="shared" si="25"/>
        <v>126</v>
      </c>
      <c r="B1513" t="s">
        <v>6</v>
      </c>
      <c r="C1513">
        <f>IF(data!$B1513&lt;&gt;data!$B1512,1,C1512+1)</f>
        <v>12</v>
      </c>
      <c r="D1513">
        <v>5.4208187539523749</v>
      </c>
      <c r="E1513" t="s">
        <v>7</v>
      </c>
      <c r="F1513" t="s">
        <v>12</v>
      </c>
      <c r="G1513">
        <v>60</v>
      </c>
    </row>
    <row r="1514" spans="1:7" x14ac:dyDescent="0.2">
      <c r="A1514">
        <f t="shared" si="25"/>
        <v>127</v>
      </c>
      <c r="B1514" t="s">
        <v>5</v>
      </c>
      <c r="C1514">
        <f>IF(data!$B1514&lt;&gt;data!$B1513,1,C1513+1)</f>
        <v>1</v>
      </c>
      <c r="D1514">
        <v>22</v>
      </c>
      <c r="E1514" t="s">
        <v>13</v>
      </c>
      <c r="F1514" t="s">
        <v>12</v>
      </c>
      <c r="G1514">
        <v>60</v>
      </c>
    </row>
    <row r="1515" spans="1:7" x14ac:dyDescent="0.2">
      <c r="A1515">
        <f t="shared" si="25"/>
        <v>127</v>
      </c>
      <c r="B1515" t="s">
        <v>5</v>
      </c>
      <c r="C1515">
        <f>IF(data!$B1515&lt;&gt;data!$B1514,1,C1514+1)</f>
        <v>2</v>
      </c>
      <c r="D1515">
        <v>21.198970004336019</v>
      </c>
      <c r="E1515" t="s">
        <v>13</v>
      </c>
      <c r="F1515" t="s">
        <v>12</v>
      </c>
      <c r="G1515">
        <v>60</v>
      </c>
    </row>
    <row r="1516" spans="1:7" x14ac:dyDescent="0.2">
      <c r="A1516">
        <f t="shared" si="25"/>
        <v>127</v>
      </c>
      <c r="B1516" t="s">
        <v>5</v>
      </c>
      <c r="C1516">
        <f>IF(data!$B1516&lt;&gt;data!$B1515,1,C1515+1)</f>
        <v>3</v>
      </c>
      <c r="D1516">
        <v>20.522878745280337</v>
      </c>
      <c r="E1516" t="s">
        <v>13</v>
      </c>
      <c r="F1516" t="s">
        <v>12</v>
      </c>
      <c r="G1516">
        <v>60</v>
      </c>
    </row>
    <row r="1517" spans="1:7" x14ac:dyDescent="0.2">
      <c r="A1517">
        <f t="shared" si="25"/>
        <v>127</v>
      </c>
      <c r="B1517" t="s">
        <v>5</v>
      </c>
      <c r="C1517">
        <f>IF(data!$B1517&lt;&gt;data!$B1516,1,C1516+1)</f>
        <v>4</v>
      </c>
      <c r="D1517">
        <v>19.897940008672037</v>
      </c>
      <c r="E1517" t="s">
        <v>13</v>
      </c>
      <c r="F1517" t="s">
        <v>12</v>
      </c>
      <c r="G1517">
        <v>60</v>
      </c>
    </row>
    <row r="1518" spans="1:7" x14ac:dyDescent="0.2">
      <c r="A1518">
        <f t="shared" si="25"/>
        <v>127</v>
      </c>
      <c r="B1518" t="s">
        <v>5</v>
      </c>
      <c r="C1518">
        <f>IF(data!$B1518&lt;&gt;data!$B1517,1,C1517+1)</f>
        <v>5</v>
      </c>
      <c r="D1518">
        <v>19.301029995663981</v>
      </c>
      <c r="E1518" t="s">
        <v>13</v>
      </c>
      <c r="F1518" t="s">
        <v>12</v>
      </c>
      <c r="G1518">
        <v>60</v>
      </c>
    </row>
    <row r="1519" spans="1:7" x14ac:dyDescent="0.2">
      <c r="A1519">
        <f t="shared" si="25"/>
        <v>127</v>
      </c>
      <c r="B1519" t="s">
        <v>5</v>
      </c>
      <c r="C1519">
        <f>IF(data!$B1519&lt;&gt;data!$B1518,1,C1518+1)</f>
        <v>6</v>
      </c>
      <c r="D1519">
        <v>18.721848749616356</v>
      </c>
      <c r="E1519" t="s">
        <v>13</v>
      </c>
      <c r="F1519" t="s">
        <v>12</v>
      </c>
      <c r="G1519">
        <v>60</v>
      </c>
    </row>
    <row r="1520" spans="1:7" x14ac:dyDescent="0.2">
      <c r="A1520">
        <f t="shared" si="25"/>
        <v>127</v>
      </c>
      <c r="B1520" t="s">
        <v>5</v>
      </c>
      <c r="C1520">
        <f>IF(data!$B1520&lt;&gt;data!$B1519,1,C1519+1)</f>
        <v>7</v>
      </c>
      <c r="D1520">
        <v>18.154901959985743</v>
      </c>
      <c r="E1520" t="s">
        <v>13</v>
      </c>
      <c r="F1520" t="s">
        <v>12</v>
      </c>
      <c r="G1520">
        <v>60</v>
      </c>
    </row>
    <row r="1521" spans="1:7" x14ac:dyDescent="0.2">
      <c r="A1521">
        <f t="shared" si="25"/>
        <v>127</v>
      </c>
      <c r="B1521" t="s">
        <v>5</v>
      </c>
      <c r="C1521">
        <f>IF(data!$B1521&lt;&gt;data!$B1520,1,C1520+1)</f>
        <v>8</v>
      </c>
      <c r="D1521">
        <v>17.596910013008056</v>
      </c>
      <c r="E1521" t="s">
        <v>13</v>
      </c>
      <c r="F1521" t="s">
        <v>12</v>
      </c>
      <c r="G1521">
        <v>60</v>
      </c>
    </row>
    <row r="1522" spans="1:7" x14ac:dyDescent="0.2">
      <c r="A1522">
        <f t="shared" si="25"/>
        <v>127</v>
      </c>
      <c r="B1522" t="s">
        <v>5</v>
      </c>
      <c r="C1522">
        <f>IF(data!$B1522&lt;&gt;data!$B1521,1,C1521+1)</f>
        <v>9</v>
      </c>
      <c r="D1522">
        <v>17.045757490560675</v>
      </c>
      <c r="E1522" t="s">
        <v>13</v>
      </c>
      <c r="F1522" t="s">
        <v>12</v>
      </c>
      <c r="G1522">
        <v>60</v>
      </c>
    </row>
    <row r="1523" spans="1:7" x14ac:dyDescent="0.2">
      <c r="A1523">
        <f t="shared" si="25"/>
        <v>127</v>
      </c>
      <c r="B1523" t="s">
        <v>5</v>
      </c>
      <c r="C1523">
        <f>IF(data!$B1523&lt;&gt;data!$B1522,1,C1522+1)</f>
        <v>10</v>
      </c>
      <c r="D1523">
        <v>16.5</v>
      </c>
      <c r="E1523" t="s">
        <v>13</v>
      </c>
      <c r="F1523" t="s">
        <v>12</v>
      </c>
      <c r="G1523">
        <v>60</v>
      </c>
    </row>
    <row r="1524" spans="1:7" x14ac:dyDescent="0.2">
      <c r="A1524">
        <f t="shared" si="25"/>
        <v>127</v>
      </c>
      <c r="B1524" t="s">
        <v>5</v>
      </c>
      <c r="C1524">
        <f>IF(data!$B1524&lt;&gt;data!$B1523,1,C1523+1)</f>
        <v>11</v>
      </c>
      <c r="D1524">
        <v>15.958607314841775</v>
      </c>
      <c r="E1524" t="s">
        <v>13</v>
      </c>
      <c r="F1524" t="s">
        <v>12</v>
      </c>
      <c r="G1524">
        <v>60</v>
      </c>
    </row>
    <row r="1525" spans="1:7" x14ac:dyDescent="0.2">
      <c r="A1525">
        <f t="shared" si="25"/>
        <v>127</v>
      </c>
      <c r="B1525" t="s">
        <v>5</v>
      </c>
      <c r="C1525">
        <f>IF(data!$B1525&lt;&gt;data!$B1524,1,C1524+1)</f>
        <v>12</v>
      </c>
      <c r="D1525">
        <v>15.420818753952375</v>
      </c>
      <c r="E1525" t="s">
        <v>13</v>
      </c>
      <c r="F1525" t="s">
        <v>12</v>
      </c>
      <c r="G1525">
        <v>60</v>
      </c>
    </row>
    <row r="1526" spans="1:7" x14ac:dyDescent="0.2">
      <c r="A1526">
        <f t="shared" si="25"/>
        <v>128</v>
      </c>
      <c r="B1526" t="s">
        <v>6</v>
      </c>
      <c r="C1526">
        <f>IF(data!$B1526&lt;&gt;data!$B1525,1,C1525+1)</f>
        <v>1</v>
      </c>
      <c r="D1526">
        <v>24</v>
      </c>
      <c r="E1526" t="s">
        <v>13</v>
      </c>
      <c r="F1526" t="s">
        <v>12</v>
      </c>
      <c r="G1526">
        <v>60</v>
      </c>
    </row>
    <row r="1527" spans="1:7" x14ac:dyDescent="0.2">
      <c r="A1527">
        <f t="shared" si="25"/>
        <v>128</v>
      </c>
      <c r="B1527" t="s">
        <v>6</v>
      </c>
      <c r="C1527">
        <f>IF(data!$B1527&lt;&gt;data!$B1526,1,C1526+1)</f>
        <v>2</v>
      </c>
      <c r="D1527">
        <v>22.498970004336019</v>
      </c>
      <c r="E1527" t="s">
        <v>13</v>
      </c>
      <c r="F1527" t="s">
        <v>12</v>
      </c>
      <c r="G1527">
        <v>60</v>
      </c>
    </row>
    <row r="1528" spans="1:7" x14ac:dyDescent="0.2">
      <c r="A1528">
        <f t="shared" si="25"/>
        <v>128</v>
      </c>
      <c r="B1528" t="s">
        <v>6</v>
      </c>
      <c r="C1528">
        <f>IF(data!$B1528&lt;&gt;data!$B1527,1,C1527+1)</f>
        <v>3</v>
      </c>
      <c r="D1528">
        <v>21.122878745280339</v>
      </c>
      <c r="E1528" t="s">
        <v>13</v>
      </c>
      <c r="F1528" t="s">
        <v>12</v>
      </c>
      <c r="G1528">
        <v>60</v>
      </c>
    </row>
    <row r="1529" spans="1:7" x14ac:dyDescent="0.2">
      <c r="A1529">
        <f t="shared" si="25"/>
        <v>128</v>
      </c>
      <c r="B1529" t="s">
        <v>6</v>
      </c>
      <c r="C1529">
        <f>IF(data!$B1529&lt;&gt;data!$B1528,1,C1528+1)</f>
        <v>4</v>
      </c>
      <c r="D1529">
        <v>19.79794000867204</v>
      </c>
      <c r="E1529" t="s">
        <v>13</v>
      </c>
      <c r="F1529" t="s">
        <v>12</v>
      </c>
      <c r="G1529">
        <v>60</v>
      </c>
    </row>
    <row r="1530" spans="1:7" x14ac:dyDescent="0.2">
      <c r="A1530">
        <f t="shared" si="25"/>
        <v>128</v>
      </c>
      <c r="B1530" t="s">
        <v>6</v>
      </c>
      <c r="C1530">
        <f>IF(data!$B1530&lt;&gt;data!$B1529,1,C1529+1)</f>
        <v>5</v>
      </c>
      <c r="D1530">
        <v>18.501029995663984</v>
      </c>
      <c r="E1530" t="s">
        <v>13</v>
      </c>
      <c r="F1530" t="s">
        <v>12</v>
      </c>
      <c r="G1530">
        <v>60</v>
      </c>
    </row>
    <row r="1531" spans="1:7" x14ac:dyDescent="0.2">
      <c r="A1531">
        <f t="shared" si="25"/>
        <v>128</v>
      </c>
      <c r="B1531" t="s">
        <v>6</v>
      </c>
      <c r="C1531">
        <f>IF(data!$B1531&lt;&gt;data!$B1530,1,C1530+1)</f>
        <v>6</v>
      </c>
      <c r="D1531">
        <v>17.22184874961636</v>
      </c>
      <c r="E1531" t="s">
        <v>13</v>
      </c>
      <c r="F1531" t="s">
        <v>12</v>
      </c>
      <c r="G1531">
        <v>60</v>
      </c>
    </row>
    <row r="1532" spans="1:7" x14ac:dyDescent="0.2">
      <c r="A1532">
        <f t="shared" si="25"/>
        <v>128</v>
      </c>
      <c r="B1532" t="s">
        <v>6</v>
      </c>
      <c r="C1532">
        <f>IF(data!$B1532&lt;&gt;data!$B1531,1,C1531+1)</f>
        <v>7</v>
      </c>
      <c r="D1532">
        <v>15.954901959985747</v>
      </c>
      <c r="E1532" t="s">
        <v>13</v>
      </c>
      <c r="F1532" t="s">
        <v>12</v>
      </c>
      <c r="G1532">
        <v>60</v>
      </c>
    </row>
    <row r="1533" spans="1:7" x14ac:dyDescent="0.2">
      <c r="A1533">
        <f t="shared" si="25"/>
        <v>128</v>
      </c>
      <c r="B1533" t="s">
        <v>6</v>
      </c>
      <c r="C1533">
        <f>IF(data!$B1533&lt;&gt;data!$B1532,1,C1532+1)</f>
        <v>8</v>
      </c>
      <c r="D1533">
        <v>14.696910013008061</v>
      </c>
      <c r="E1533" t="s">
        <v>13</v>
      </c>
      <c r="F1533" t="s">
        <v>12</v>
      </c>
      <c r="G1533">
        <v>60</v>
      </c>
    </row>
    <row r="1534" spans="1:7" x14ac:dyDescent="0.2">
      <c r="A1534">
        <f t="shared" si="25"/>
        <v>128</v>
      </c>
      <c r="B1534" t="s">
        <v>6</v>
      </c>
      <c r="C1534">
        <f>IF(data!$B1534&lt;&gt;data!$B1533,1,C1533+1)</f>
        <v>9</v>
      </c>
      <c r="D1534">
        <v>13.44575749056068</v>
      </c>
      <c r="E1534" t="s">
        <v>13</v>
      </c>
      <c r="F1534" t="s">
        <v>12</v>
      </c>
      <c r="G1534">
        <v>60</v>
      </c>
    </row>
    <row r="1535" spans="1:7" x14ac:dyDescent="0.2">
      <c r="A1535">
        <f t="shared" si="25"/>
        <v>128</v>
      </c>
      <c r="B1535" t="s">
        <v>6</v>
      </c>
      <c r="C1535">
        <f>IF(data!$B1535&lt;&gt;data!$B1534,1,C1534+1)</f>
        <v>10</v>
      </c>
      <c r="D1535">
        <v>12.200000000000006</v>
      </c>
      <c r="E1535" t="s">
        <v>13</v>
      </c>
      <c r="F1535" t="s">
        <v>12</v>
      </c>
      <c r="G1535">
        <v>60</v>
      </c>
    </row>
    <row r="1536" spans="1:7" x14ac:dyDescent="0.2">
      <c r="A1536">
        <f t="shared" si="25"/>
        <v>128</v>
      </c>
      <c r="B1536" t="s">
        <v>6</v>
      </c>
      <c r="C1536">
        <f>IF(data!$B1536&lt;&gt;data!$B1535,1,C1535+1)</f>
        <v>11</v>
      </c>
      <c r="D1536">
        <v>10.958607314841782</v>
      </c>
      <c r="E1536" t="s">
        <v>13</v>
      </c>
      <c r="F1536" t="s">
        <v>12</v>
      </c>
      <c r="G1536">
        <v>60</v>
      </c>
    </row>
    <row r="1537" spans="1:7" x14ac:dyDescent="0.2">
      <c r="A1537">
        <f t="shared" si="25"/>
        <v>128</v>
      </c>
      <c r="B1537" t="s">
        <v>6</v>
      </c>
      <c r="C1537">
        <f>IF(data!$B1537&lt;&gt;data!$B1536,1,C1536+1)</f>
        <v>12</v>
      </c>
      <c r="D1537">
        <v>9.7208187539523827</v>
      </c>
      <c r="E1537" t="s">
        <v>13</v>
      </c>
      <c r="F1537" t="s">
        <v>12</v>
      </c>
      <c r="G1537">
        <v>60</v>
      </c>
    </row>
    <row r="1538" spans="1:7" x14ac:dyDescent="0.2">
      <c r="A1538">
        <f t="shared" si="25"/>
        <v>129</v>
      </c>
      <c r="B1538" t="s">
        <v>5</v>
      </c>
      <c r="C1538">
        <f>IF(data!$B1538&lt;&gt;data!$B1537,1,C1537+1)</f>
        <v>1</v>
      </c>
      <c r="D1538">
        <v>19</v>
      </c>
      <c r="E1538" t="s">
        <v>7</v>
      </c>
      <c r="F1538" t="s">
        <v>14</v>
      </c>
      <c r="G1538">
        <v>60</v>
      </c>
    </row>
    <row r="1539" spans="1:7" x14ac:dyDescent="0.2">
      <c r="A1539">
        <f t="shared" si="25"/>
        <v>129</v>
      </c>
      <c r="B1539" t="s">
        <v>5</v>
      </c>
      <c r="C1539">
        <f>IF(data!$B1539&lt;&gt;data!$B1538,1,C1538+1)</f>
        <v>2</v>
      </c>
      <c r="D1539">
        <v>18</v>
      </c>
      <c r="E1539" t="s">
        <v>7</v>
      </c>
      <c r="F1539" t="s">
        <v>14</v>
      </c>
      <c r="G1539">
        <v>60</v>
      </c>
    </row>
    <row r="1540" spans="1:7" x14ac:dyDescent="0.2">
      <c r="A1540">
        <f t="shared" si="25"/>
        <v>129</v>
      </c>
      <c r="B1540" t="s">
        <v>5</v>
      </c>
      <c r="C1540">
        <f>IF(data!$B1540&lt;&gt;data!$B1539,1,C1539+1)</f>
        <v>3</v>
      </c>
      <c r="D1540">
        <v>17</v>
      </c>
      <c r="E1540" t="s">
        <v>7</v>
      </c>
      <c r="F1540" t="s">
        <v>14</v>
      </c>
      <c r="G1540">
        <v>60</v>
      </c>
    </row>
    <row r="1541" spans="1:7" x14ac:dyDescent="0.2">
      <c r="A1541">
        <f t="shared" si="25"/>
        <v>129</v>
      </c>
      <c r="B1541" t="s">
        <v>5</v>
      </c>
      <c r="C1541">
        <f>IF(data!$B1541&lt;&gt;data!$B1540,1,C1540+1)</f>
        <v>4</v>
      </c>
      <c r="D1541">
        <v>16</v>
      </c>
      <c r="E1541" t="s">
        <v>7</v>
      </c>
      <c r="F1541" t="s">
        <v>14</v>
      </c>
      <c r="G1541">
        <v>60</v>
      </c>
    </row>
    <row r="1542" spans="1:7" x14ac:dyDescent="0.2">
      <c r="A1542">
        <f t="shared" si="25"/>
        <v>129</v>
      </c>
      <c r="B1542" t="s">
        <v>5</v>
      </c>
      <c r="C1542">
        <f>IF(data!$B1542&lt;&gt;data!$B1541,1,C1541+1)</f>
        <v>5</v>
      </c>
      <c r="D1542">
        <v>15</v>
      </c>
      <c r="E1542" t="s">
        <v>7</v>
      </c>
      <c r="F1542" t="s">
        <v>14</v>
      </c>
      <c r="G1542">
        <v>60</v>
      </c>
    </row>
    <row r="1543" spans="1:7" x14ac:dyDescent="0.2">
      <c r="A1543">
        <f t="shared" si="25"/>
        <v>129</v>
      </c>
      <c r="B1543" t="s">
        <v>5</v>
      </c>
      <c r="C1543">
        <f>IF(data!$B1543&lt;&gt;data!$B1542,1,C1542+1)</f>
        <v>6</v>
      </c>
      <c r="D1543">
        <v>14</v>
      </c>
      <c r="E1543" t="s">
        <v>7</v>
      </c>
      <c r="F1543" t="s">
        <v>14</v>
      </c>
      <c r="G1543">
        <v>60</v>
      </c>
    </row>
    <row r="1544" spans="1:7" x14ac:dyDescent="0.2">
      <c r="A1544">
        <f t="shared" si="25"/>
        <v>129</v>
      </c>
      <c r="B1544" t="s">
        <v>5</v>
      </c>
      <c r="C1544">
        <f>IF(data!$B1544&lt;&gt;data!$B1543,1,C1543+1)</f>
        <v>7</v>
      </c>
      <c r="D1544">
        <v>13</v>
      </c>
      <c r="E1544" t="s">
        <v>7</v>
      </c>
      <c r="F1544" t="s">
        <v>14</v>
      </c>
      <c r="G1544">
        <v>60</v>
      </c>
    </row>
    <row r="1545" spans="1:7" x14ac:dyDescent="0.2">
      <c r="A1545">
        <f t="shared" si="25"/>
        <v>129</v>
      </c>
      <c r="B1545" t="s">
        <v>5</v>
      </c>
      <c r="C1545">
        <f>IF(data!$B1545&lt;&gt;data!$B1544,1,C1544+1)</f>
        <v>8</v>
      </c>
      <c r="D1545">
        <v>12</v>
      </c>
      <c r="E1545" t="s">
        <v>7</v>
      </c>
      <c r="F1545" t="s">
        <v>14</v>
      </c>
      <c r="G1545">
        <v>60</v>
      </c>
    </row>
    <row r="1546" spans="1:7" x14ac:dyDescent="0.2">
      <c r="A1546">
        <f t="shared" si="25"/>
        <v>129</v>
      </c>
      <c r="B1546" t="s">
        <v>5</v>
      </c>
      <c r="C1546">
        <f>IF(data!$B1546&lt;&gt;data!$B1545,1,C1545+1)</f>
        <v>9</v>
      </c>
      <c r="D1546">
        <v>11</v>
      </c>
      <c r="E1546" t="s">
        <v>7</v>
      </c>
      <c r="F1546" t="s">
        <v>14</v>
      </c>
      <c r="G1546">
        <v>60</v>
      </c>
    </row>
    <row r="1547" spans="1:7" x14ac:dyDescent="0.2">
      <c r="A1547">
        <f t="shared" si="25"/>
        <v>129</v>
      </c>
      <c r="B1547" t="s">
        <v>5</v>
      </c>
      <c r="C1547">
        <f>IF(data!$B1547&lt;&gt;data!$B1546,1,C1546+1)</f>
        <v>10</v>
      </c>
      <c r="D1547">
        <v>10</v>
      </c>
      <c r="E1547" t="s">
        <v>7</v>
      </c>
      <c r="F1547" t="s">
        <v>14</v>
      </c>
      <c r="G1547">
        <v>60</v>
      </c>
    </row>
    <row r="1548" spans="1:7" x14ac:dyDescent="0.2">
      <c r="A1548">
        <f t="shared" si="25"/>
        <v>129</v>
      </c>
      <c r="B1548" t="s">
        <v>5</v>
      </c>
      <c r="C1548">
        <f>IF(data!$B1548&lt;&gt;data!$B1547,1,C1547+1)</f>
        <v>11</v>
      </c>
      <c r="D1548">
        <v>9</v>
      </c>
      <c r="E1548" t="s">
        <v>7</v>
      </c>
      <c r="F1548" t="s">
        <v>14</v>
      </c>
      <c r="G1548">
        <v>60</v>
      </c>
    </row>
    <row r="1549" spans="1:7" x14ac:dyDescent="0.2">
      <c r="A1549">
        <f t="shared" si="25"/>
        <v>129</v>
      </c>
      <c r="B1549" t="s">
        <v>5</v>
      </c>
      <c r="C1549">
        <f>IF(data!$B1549&lt;&gt;data!$B1548,1,C1548+1)</f>
        <v>12</v>
      </c>
      <c r="D1549">
        <v>8</v>
      </c>
      <c r="E1549" t="s">
        <v>7</v>
      </c>
      <c r="F1549" t="s">
        <v>14</v>
      </c>
      <c r="G1549">
        <v>60</v>
      </c>
    </row>
    <row r="1550" spans="1:7" x14ac:dyDescent="0.2">
      <c r="A1550">
        <f t="shared" si="25"/>
        <v>130</v>
      </c>
      <c r="B1550" t="s">
        <v>6</v>
      </c>
      <c r="C1550">
        <f>IF(data!$B1550&lt;&gt;data!$B1549,1,C1549+1)</f>
        <v>1</v>
      </c>
      <c r="D1550">
        <v>21</v>
      </c>
      <c r="E1550" t="s">
        <v>7</v>
      </c>
      <c r="F1550" t="s">
        <v>14</v>
      </c>
      <c r="G1550">
        <v>60</v>
      </c>
    </row>
    <row r="1551" spans="1:7" x14ac:dyDescent="0.2">
      <c r="A1551">
        <f t="shared" si="25"/>
        <v>130</v>
      </c>
      <c r="B1551" t="s">
        <v>6</v>
      </c>
      <c r="C1551">
        <f>IF(data!$B1551&lt;&gt;data!$B1550,1,C1550+1)</f>
        <v>2</v>
      </c>
      <c r="D1551">
        <v>19.5</v>
      </c>
      <c r="E1551" t="s">
        <v>7</v>
      </c>
      <c r="F1551" t="s">
        <v>14</v>
      </c>
      <c r="G1551">
        <v>60</v>
      </c>
    </row>
    <row r="1552" spans="1:7" x14ac:dyDescent="0.2">
      <c r="A1552">
        <f t="shared" si="25"/>
        <v>130</v>
      </c>
      <c r="B1552" t="s">
        <v>6</v>
      </c>
      <c r="C1552">
        <f>IF(data!$B1552&lt;&gt;data!$B1551,1,C1551+1)</f>
        <v>3</v>
      </c>
      <c r="D1552">
        <v>18</v>
      </c>
      <c r="E1552" t="s">
        <v>7</v>
      </c>
      <c r="F1552" t="s">
        <v>14</v>
      </c>
      <c r="G1552">
        <v>60</v>
      </c>
    </row>
    <row r="1553" spans="1:7" x14ac:dyDescent="0.2">
      <c r="A1553">
        <f t="shared" si="25"/>
        <v>130</v>
      </c>
      <c r="B1553" t="s">
        <v>6</v>
      </c>
      <c r="C1553">
        <f>IF(data!$B1553&lt;&gt;data!$B1552,1,C1552+1)</f>
        <v>4</v>
      </c>
      <c r="D1553">
        <v>16.5</v>
      </c>
      <c r="E1553" t="s">
        <v>7</v>
      </c>
      <c r="F1553" t="s">
        <v>14</v>
      </c>
      <c r="G1553">
        <v>60</v>
      </c>
    </row>
    <row r="1554" spans="1:7" x14ac:dyDescent="0.2">
      <c r="A1554">
        <f t="shared" si="25"/>
        <v>130</v>
      </c>
      <c r="B1554" t="s">
        <v>6</v>
      </c>
      <c r="C1554">
        <f>IF(data!$B1554&lt;&gt;data!$B1553,1,C1553+1)</f>
        <v>5</v>
      </c>
      <c r="D1554">
        <v>15</v>
      </c>
      <c r="E1554" t="s">
        <v>7</v>
      </c>
      <c r="F1554" t="s">
        <v>14</v>
      </c>
      <c r="G1554">
        <v>60</v>
      </c>
    </row>
    <row r="1555" spans="1:7" x14ac:dyDescent="0.2">
      <c r="A1555">
        <f t="shared" si="25"/>
        <v>130</v>
      </c>
      <c r="B1555" t="s">
        <v>6</v>
      </c>
      <c r="C1555">
        <f>IF(data!$B1555&lt;&gt;data!$B1554,1,C1554+1)</f>
        <v>6</v>
      </c>
      <c r="D1555">
        <v>13.5</v>
      </c>
      <c r="E1555" t="s">
        <v>7</v>
      </c>
      <c r="F1555" t="s">
        <v>14</v>
      </c>
      <c r="G1555">
        <v>60</v>
      </c>
    </row>
    <row r="1556" spans="1:7" x14ac:dyDescent="0.2">
      <c r="A1556">
        <f t="shared" si="25"/>
        <v>130</v>
      </c>
      <c r="B1556" t="s">
        <v>6</v>
      </c>
      <c r="C1556">
        <f>IF(data!$B1556&lt;&gt;data!$B1555,1,C1555+1)</f>
        <v>7</v>
      </c>
      <c r="D1556">
        <v>12</v>
      </c>
      <c r="E1556" t="s">
        <v>7</v>
      </c>
      <c r="F1556" t="s">
        <v>14</v>
      </c>
      <c r="G1556">
        <v>60</v>
      </c>
    </row>
    <row r="1557" spans="1:7" x14ac:dyDescent="0.2">
      <c r="A1557">
        <f t="shared" si="25"/>
        <v>130</v>
      </c>
      <c r="B1557" t="s">
        <v>6</v>
      </c>
      <c r="C1557">
        <f>IF(data!$B1557&lt;&gt;data!$B1556,1,C1556+1)</f>
        <v>8</v>
      </c>
      <c r="D1557">
        <v>10.5</v>
      </c>
      <c r="E1557" t="s">
        <v>7</v>
      </c>
      <c r="F1557" t="s">
        <v>14</v>
      </c>
      <c r="G1557">
        <v>60</v>
      </c>
    </row>
    <row r="1558" spans="1:7" x14ac:dyDescent="0.2">
      <c r="A1558">
        <f t="shared" si="25"/>
        <v>130</v>
      </c>
      <c r="B1558" t="s">
        <v>6</v>
      </c>
      <c r="C1558">
        <f>IF(data!$B1558&lt;&gt;data!$B1557,1,C1557+1)</f>
        <v>9</v>
      </c>
      <c r="D1558">
        <v>9</v>
      </c>
      <c r="E1558" t="s">
        <v>7</v>
      </c>
      <c r="F1558" t="s">
        <v>14</v>
      </c>
      <c r="G1558">
        <v>60</v>
      </c>
    </row>
    <row r="1559" spans="1:7" x14ac:dyDescent="0.2">
      <c r="A1559">
        <f t="shared" si="25"/>
        <v>130</v>
      </c>
      <c r="B1559" t="s">
        <v>6</v>
      </c>
      <c r="C1559">
        <f>IF(data!$B1559&lt;&gt;data!$B1558,1,C1558+1)</f>
        <v>10</v>
      </c>
      <c r="D1559">
        <v>7.5</v>
      </c>
      <c r="E1559" t="s">
        <v>7</v>
      </c>
      <c r="F1559" t="s">
        <v>14</v>
      </c>
      <c r="G1559">
        <v>60</v>
      </c>
    </row>
    <row r="1560" spans="1:7" x14ac:dyDescent="0.2">
      <c r="A1560">
        <f t="shared" si="25"/>
        <v>130</v>
      </c>
      <c r="B1560" t="s">
        <v>6</v>
      </c>
      <c r="C1560">
        <f>IF(data!$B1560&lt;&gt;data!$B1559,1,C1559+1)</f>
        <v>11</v>
      </c>
      <c r="D1560">
        <v>6</v>
      </c>
      <c r="E1560" t="s">
        <v>7</v>
      </c>
      <c r="F1560" t="s">
        <v>14</v>
      </c>
      <c r="G1560">
        <v>60</v>
      </c>
    </row>
    <row r="1561" spans="1:7" x14ac:dyDescent="0.2">
      <c r="A1561">
        <f t="shared" si="25"/>
        <v>130</v>
      </c>
      <c r="B1561" t="s">
        <v>6</v>
      </c>
      <c r="C1561">
        <f>IF(data!$B1561&lt;&gt;data!$B1560,1,C1560+1)</f>
        <v>12</v>
      </c>
      <c r="D1561">
        <v>4.5</v>
      </c>
      <c r="E1561" t="s">
        <v>7</v>
      </c>
      <c r="F1561" t="s">
        <v>14</v>
      </c>
      <c r="G1561">
        <v>60</v>
      </c>
    </row>
    <row r="1562" spans="1:7" x14ac:dyDescent="0.2">
      <c r="A1562">
        <f t="shared" si="25"/>
        <v>131</v>
      </c>
      <c r="B1562" t="s">
        <v>5</v>
      </c>
      <c r="C1562">
        <f>IF(data!$B1562&lt;&gt;data!$B1561,1,C1561+1)</f>
        <v>1</v>
      </c>
      <c r="D1562">
        <v>20</v>
      </c>
      <c r="E1562" t="s">
        <v>13</v>
      </c>
      <c r="F1562" t="s">
        <v>14</v>
      </c>
      <c r="G1562">
        <v>60</v>
      </c>
    </row>
    <row r="1563" spans="1:7" x14ac:dyDescent="0.2">
      <c r="A1563">
        <f t="shared" si="25"/>
        <v>131</v>
      </c>
      <c r="B1563" t="s">
        <v>5</v>
      </c>
      <c r="C1563">
        <f>IF(data!$B1563&lt;&gt;data!$B1562,1,C1562+1)</f>
        <v>2</v>
      </c>
      <c r="D1563">
        <v>19.5</v>
      </c>
      <c r="E1563" t="s">
        <v>13</v>
      </c>
      <c r="F1563" t="s">
        <v>14</v>
      </c>
      <c r="G1563">
        <v>60</v>
      </c>
    </row>
    <row r="1564" spans="1:7" x14ac:dyDescent="0.2">
      <c r="A1564">
        <f t="shared" si="25"/>
        <v>131</v>
      </c>
      <c r="B1564" t="s">
        <v>5</v>
      </c>
      <c r="C1564">
        <f>IF(data!$B1564&lt;&gt;data!$B1563,1,C1563+1)</f>
        <v>3</v>
      </c>
      <c r="D1564">
        <v>19</v>
      </c>
      <c r="E1564" t="s">
        <v>13</v>
      </c>
      <c r="F1564" t="s">
        <v>14</v>
      </c>
      <c r="G1564">
        <v>60</v>
      </c>
    </row>
    <row r="1565" spans="1:7" x14ac:dyDescent="0.2">
      <c r="A1565">
        <f t="shared" si="25"/>
        <v>131</v>
      </c>
      <c r="B1565" t="s">
        <v>5</v>
      </c>
      <c r="C1565">
        <f>IF(data!$B1565&lt;&gt;data!$B1564,1,C1564+1)</f>
        <v>4</v>
      </c>
      <c r="D1565">
        <v>18.5</v>
      </c>
      <c r="E1565" t="s">
        <v>13</v>
      </c>
      <c r="F1565" t="s">
        <v>14</v>
      </c>
      <c r="G1565">
        <v>60</v>
      </c>
    </row>
    <row r="1566" spans="1:7" x14ac:dyDescent="0.2">
      <c r="A1566">
        <f t="shared" si="25"/>
        <v>131</v>
      </c>
      <c r="B1566" t="s">
        <v>5</v>
      </c>
      <c r="C1566">
        <f>IF(data!$B1566&lt;&gt;data!$B1565,1,C1565+1)</f>
        <v>5</v>
      </c>
      <c r="D1566">
        <v>18</v>
      </c>
      <c r="E1566" t="s">
        <v>13</v>
      </c>
      <c r="F1566" t="s">
        <v>14</v>
      </c>
      <c r="G1566">
        <v>60</v>
      </c>
    </row>
    <row r="1567" spans="1:7" x14ac:dyDescent="0.2">
      <c r="A1567">
        <f t="shared" si="25"/>
        <v>131</v>
      </c>
      <c r="B1567" t="s">
        <v>5</v>
      </c>
      <c r="C1567">
        <f>IF(data!$B1567&lt;&gt;data!$B1566,1,C1566+1)</f>
        <v>6</v>
      </c>
      <c r="D1567">
        <v>17.5</v>
      </c>
      <c r="E1567" t="s">
        <v>13</v>
      </c>
      <c r="F1567" t="s">
        <v>14</v>
      </c>
      <c r="G1567">
        <v>60</v>
      </c>
    </row>
    <row r="1568" spans="1:7" x14ac:dyDescent="0.2">
      <c r="A1568">
        <f t="shared" si="25"/>
        <v>131</v>
      </c>
      <c r="B1568" t="s">
        <v>5</v>
      </c>
      <c r="C1568">
        <f>IF(data!$B1568&lt;&gt;data!$B1567,1,C1567+1)</f>
        <v>7</v>
      </c>
      <c r="D1568">
        <v>17</v>
      </c>
      <c r="E1568" t="s">
        <v>13</v>
      </c>
      <c r="F1568" t="s">
        <v>14</v>
      </c>
      <c r="G1568">
        <v>60</v>
      </c>
    </row>
    <row r="1569" spans="1:7" x14ac:dyDescent="0.2">
      <c r="A1569">
        <f t="shared" si="25"/>
        <v>131</v>
      </c>
      <c r="B1569" t="s">
        <v>5</v>
      </c>
      <c r="C1569">
        <f>IF(data!$B1569&lt;&gt;data!$B1568,1,C1568+1)</f>
        <v>8</v>
      </c>
      <c r="D1569">
        <v>16.5</v>
      </c>
      <c r="E1569" t="s">
        <v>13</v>
      </c>
      <c r="F1569" t="s">
        <v>14</v>
      </c>
      <c r="G1569">
        <v>60</v>
      </c>
    </row>
    <row r="1570" spans="1:7" x14ac:dyDescent="0.2">
      <c r="A1570">
        <f t="shared" si="25"/>
        <v>131</v>
      </c>
      <c r="B1570" t="s">
        <v>5</v>
      </c>
      <c r="C1570">
        <f>IF(data!$B1570&lt;&gt;data!$B1569,1,C1569+1)</f>
        <v>9</v>
      </c>
      <c r="D1570">
        <v>16</v>
      </c>
      <c r="E1570" t="s">
        <v>13</v>
      </c>
      <c r="F1570" t="s">
        <v>14</v>
      </c>
      <c r="G1570">
        <v>60</v>
      </c>
    </row>
    <row r="1571" spans="1:7" x14ac:dyDescent="0.2">
      <c r="A1571">
        <f t="shared" ref="A1571:A1634" si="26">IF(B1571=B1570,A1570,A1570+1)</f>
        <v>131</v>
      </c>
      <c r="B1571" t="s">
        <v>5</v>
      </c>
      <c r="C1571">
        <f>IF(data!$B1571&lt;&gt;data!$B1570,1,C1570+1)</f>
        <v>10</v>
      </c>
      <c r="D1571">
        <v>15.5</v>
      </c>
      <c r="E1571" t="s">
        <v>13</v>
      </c>
      <c r="F1571" t="s">
        <v>14</v>
      </c>
      <c r="G1571">
        <v>60</v>
      </c>
    </row>
    <row r="1572" spans="1:7" x14ac:dyDescent="0.2">
      <c r="A1572">
        <f t="shared" si="26"/>
        <v>131</v>
      </c>
      <c r="B1572" t="s">
        <v>5</v>
      </c>
      <c r="C1572">
        <f>IF(data!$B1572&lt;&gt;data!$B1571,1,C1571+1)</f>
        <v>11</v>
      </c>
      <c r="D1572">
        <v>15</v>
      </c>
      <c r="E1572" t="s">
        <v>13</v>
      </c>
      <c r="F1572" t="s">
        <v>14</v>
      </c>
      <c r="G1572">
        <v>60</v>
      </c>
    </row>
    <row r="1573" spans="1:7" x14ac:dyDescent="0.2">
      <c r="A1573">
        <f t="shared" si="26"/>
        <v>131</v>
      </c>
      <c r="B1573" t="s">
        <v>5</v>
      </c>
      <c r="C1573">
        <f>IF(data!$B1573&lt;&gt;data!$B1572,1,C1572+1)</f>
        <v>12</v>
      </c>
      <c r="D1573">
        <v>14.5</v>
      </c>
      <c r="E1573" t="s">
        <v>13</v>
      </c>
      <c r="F1573" t="s">
        <v>14</v>
      </c>
      <c r="G1573">
        <v>60</v>
      </c>
    </row>
    <row r="1574" spans="1:7" x14ac:dyDescent="0.2">
      <c r="A1574">
        <f t="shared" si="26"/>
        <v>132</v>
      </c>
      <c r="B1574" t="s">
        <v>6</v>
      </c>
      <c r="C1574">
        <f>IF(data!$B1574&lt;&gt;data!$B1573,1,C1573+1)</f>
        <v>1</v>
      </c>
      <c r="D1574">
        <v>22</v>
      </c>
      <c r="E1574" t="s">
        <v>13</v>
      </c>
      <c r="F1574" t="s">
        <v>14</v>
      </c>
      <c r="G1574">
        <v>60</v>
      </c>
    </row>
    <row r="1575" spans="1:7" x14ac:dyDescent="0.2">
      <c r="A1575">
        <f t="shared" si="26"/>
        <v>132</v>
      </c>
      <c r="B1575" t="s">
        <v>6</v>
      </c>
      <c r="C1575">
        <f>IF(data!$B1575&lt;&gt;data!$B1574,1,C1574+1)</f>
        <v>2</v>
      </c>
      <c r="D1575">
        <v>20.8</v>
      </c>
      <c r="E1575" t="s">
        <v>13</v>
      </c>
      <c r="F1575" t="s">
        <v>14</v>
      </c>
      <c r="G1575">
        <v>60</v>
      </c>
    </row>
    <row r="1576" spans="1:7" x14ac:dyDescent="0.2">
      <c r="A1576">
        <f t="shared" si="26"/>
        <v>132</v>
      </c>
      <c r="B1576" t="s">
        <v>6</v>
      </c>
      <c r="C1576">
        <f>IF(data!$B1576&lt;&gt;data!$B1575,1,C1575+1)</f>
        <v>3</v>
      </c>
      <c r="D1576">
        <v>19.600000000000001</v>
      </c>
      <c r="E1576" t="s">
        <v>13</v>
      </c>
      <c r="F1576" t="s">
        <v>14</v>
      </c>
      <c r="G1576">
        <v>60</v>
      </c>
    </row>
    <row r="1577" spans="1:7" x14ac:dyDescent="0.2">
      <c r="A1577">
        <f t="shared" si="26"/>
        <v>132</v>
      </c>
      <c r="B1577" t="s">
        <v>6</v>
      </c>
      <c r="C1577">
        <f>IF(data!$B1577&lt;&gt;data!$B1576,1,C1576+1)</f>
        <v>4</v>
      </c>
      <c r="D1577">
        <v>18.400000000000002</v>
      </c>
      <c r="E1577" t="s">
        <v>13</v>
      </c>
      <c r="F1577" t="s">
        <v>14</v>
      </c>
      <c r="G1577">
        <v>60</v>
      </c>
    </row>
    <row r="1578" spans="1:7" x14ac:dyDescent="0.2">
      <c r="A1578">
        <f t="shared" si="26"/>
        <v>132</v>
      </c>
      <c r="B1578" t="s">
        <v>6</v>
      </c>
      <c r="C1578">
        <f>IF(data!$B1578&lt;&gt;data!$B1577,1,C1577+1)</f>
        <v>5</v>
      </c>
      <c r="D1578">
        <v>17.200000000000003</v>
      </c>
      <c r="E1578" t="s">
        <v>13</v>
      </c>
      <c r="F1578" t="s">
        <v>14</v>
      </c>
      <c r="G1578">
        <v>60</v>
      </c>
    </row>
    <row r="1579" spans="1:7" x14ac:dyDescent="0.2">
      <c r="A1579">
        <f t="shared" si="26"/>
        <v>132</v>
      </c>
      <c r="B1579" t="s">
        <v>6</v>
      </c>
      <c r="C1579">
        <f>IF(data!$B1579&lt;&gt;data!$B1578,1,C1578+1)</f>
        <v>6</v>
      </c>
      <c r="D1579">
        <v>16.000000000000004</v>
      </c>
      <c r="E1579" t="s">
        <v>13</v>
      </c>
      <c r="F1579" t="s">
        <v>14</v>
      </c>
      <c r="G1579">
        <v>60</v>
      </c>
    </row>
    <row r="1580" spans="1:7" x14ac:dyDescent="0.2">
      <c r="A1580">
        <f t="shared" si="26"/>
        <v>132</v>
      </c>
      <c r="B1580" t="s">
        <v>6</v>
      </c>
      <c r="C1580">
        <f>IF(data!$B1580&lt;&gt;data!$B1579,1,C1579+1)</f>
        <v>7</v>
      </c>
      <c r="D1580">
        <v>14.800000000000004</v>
      </c>
      <c r="E1580" t="s">
        <v>13</v>
      </c>
      <c r="F1580" t="s">
        <v>14</v>
      </c>
      <c r="G1580">
        <v>60</v>
      </c>
    </row>
    <row r="1581" spans="1:7" x14ac:dyDescent="0.2">
      <c r="A1581">
        <f t="shared" si="26"/>
        <v>132</v>
      </c>
      <c r="B1581" t="s">
        <v>6</v>
      </c>
      <c r="C1581">
        <f>IF(data!$B1581&lt;&gt;data!$B1580,1,C1580+1)</f>
        <v>8</v>
      </c>
      <c r="D1581">
        <v>13.600000000000005</v>
      </c>
      <c r="E1581" t="s">
        <v>13</v>
      </c>
      <c r="F1581" t="s">
        <v>14</v>
      </c>
      <c r="G1581">
        <v>60</v>
      </c>
    </row>
    <row r="1582" spans="1:7" x14ac:dyDescent="0.2">
      <c r="A1582">
        <f t="shared" si="26"/>
        <v>132</v>
      </c>
      <c r="B1582" t="s">
        <v>6</v>
      </c>
      <c r="C1582">
        <f>IF(data!$B1582&lt;&gt;data!$B1581,1,C1581+1)</f>
        <v>9</v>
      </c>
      <c r="D1582">
        <v>12.400000000000006</v>
      </c>
      <c r="E1582" t="s">
        <v>13</v>
      </c>
      <c r="F1582" t="s">
        <v>14</v>
      </c>
      <c r="G1582">
        <v>60</v>
      </c>
    </row>
    <row r="1583" spans="1:7" x14ac:dyDescent="0.2">
      <c r="A1583">
        <f t="shared" si="26"/>
        <v>132</v>
      </c>
      <c r="B1583" t="s">
        <v>6</v>
      </c>
      <c r="C1583">
        <f>IF(data!$B1583&lt;&gt;data!$B1582,1,C1582+1)</f>
        <v>10</v>
      </c>
      <c r="D1583">
        <v>11.200000000000006</v>
      </c>
      <c r="E1583" t="s">
        <v>13</v>
      </c>
      <c r="F1583" t="s">
        <v>14</v>
      </c>
      <c r="G1583">
        <v>60</v>
      </c>
    </row>
    <row r="1584" spans="1:7" x14ac:dyDescent="0.2">
      <c r="A1584">
        <f t="shared" si="26"/>
        <v>132</v>
      </c>
      <c r="B1584" t="s">
        <v>6</v>
      </c>
      <c r="C1584">
        <f>IF(data!$B1584&lt;&gt;data!$B1583,1,C1583+1)</f>
        <v>11</v>
      </c>
      <c r="D1584">
        <v>10.000000000000007</v>
      </c>
      <c r="E1584" t="s">
        <v>13</v>
      </c>
      <c r="F1584" t="s">
        <v>14</v>
      </c>
      <c r="G1584">
        <v>60</v>
      </c>
    </row>
    <row r="1585" spans="1:7" x14ac:dyDescent="0.2">
      <c r="A1585">
        <f t="shared" si="26"/>
        <v>132</v>
      </c>
      <c r="B1585" t="s">
        <v>6</v>
      </c>
      <c r="C1585">
        <f>IF(data!$B1585&lt;&gt;data!$B1584,1,C1584+1)</f>
        <v>12</v>
      </c>
      <c r="D1585">
        <v>8.8000000000000078</v>
      </c>
      <c r="E1585" t="s">
        <v>13</v>
      </c>
      <c r="F1585" t="s">
        <v>14</v>
      </c>
      <c r="G1585">
        <v>60</v>
      </c>
    </row>
    <row r="1586" spans="1:7" x14ac:dyDescent="0.2">
      <c r="A1586">
        <f t="shared" si="26"/>
        <v>133</v>
      </c>
      <c r="B1586" t="s">
        <v>5</v>
      </c>
      <c r="C1586">
        <f>IF(data!$B1586&lt;&gt;data!$B1585,1,C1585+1)</f>
        <v>1</v>
      </c>
      <c r="D1586">
        <v>19</v>
      </c>
      <c r="E1586" t="s">
        <v>7</v>
      </c>
      <c r="F1586" t="s">
        <v>12</v>
      </c>
      <c r="G1586">
        <v>60</v>
      </c>
    </row>
    <row r="1587" spans="1:7" x14ac:dyDescent="0.2">
      <c r="A1587">
        <f t="shared" si="26"/>
        <v>133</v>
      </c>
      <c r="B1587" t="s">
        <v>5</v>
      </c>
      <c r="C1587">
        <f>IF(data!$B1587&lt;&gt;data!$B1586,1,C1586+1)</f>
        <v>2</v>
      </c>
      <c r="D1587">
        <v>17.698970004336019</v>
      </c>
      <c r="E1587" t="s">
        <v>7</v>
      </c>
      <c r="F1587" t="s">
        <v>12</v>
      </c>
      <c r="G1587">
        <v>60</v>
      </c>
    </row>
    <row r="1588" spans="1:7" x14ac:dyDescent="0.2">
      <c r="A1588">
        <f t="shared" si="26"/>
        <v>133</v>
      </c>
      <c r="B1588" t="s">
        <v>5</v>
      </c>
      <c r="C1588">
        <f>IF(data!$B1588&lt;&gt;data!$B1587,1,C1587+1)</f>
        <v>3</v>
      </c>
      <c r="D1588">
        <v>16.522878745280337</v>
      </c>
      <c r="E1588" t="s">
        <v>7</v>
      </c>
      <c r="F1588" t="s">
        <v>12</v>
      </c>
      <c r="G1588">
        <v>60</v>
      </c>
    </row>
    <row r="1589" spans="1:7" x14ac:dyDescent="0.2">
      <c r="A1589">
        <f t="shared" si="26"/>
        <v>133</v>
      </c>
      <c r="B1589" t="s">
        <v>5</v>
      </c>
      <c r="C1589">
        <f>IF(data!$B1589&lt;&gt;data!$B1588,1,C1588+1)</f>
        <v>4</v>
      </c>
      <c r="D1589">
        <v>15.397940008672037</v>
      </c>
      <c r="E1589" t="s">
        <v>7</v>
      </c>
      <c r="F1589" t="s">
        <v>12</v>
      </c>
      <c r="G1589">
        <v>60</v>
      </c>
    </row>
    <row r="1590" spans="1:7" x14ac:dyDescent="0.2">
      <c r="A1590">
        <f t="shared" si="26"/>
        <v>133</v>
      </c>
      <c r="B1590" t="s">
        <v>5</v>
      </c>
      <c r="C1590">
        <f>IF(data!$B1590&lt;&gt;data!$B1589,1,C1589+1)</f>
        <v>5</v>
      </c>
      <c r="D1590">
        <v>14.301029995663981</v>
      </c>
      <c r="E1590" t="s">
        <v>7</v>
      </c>
      <c r="F1590" t="s">
        <v>12</v>
      </c>
      <c r="G1590">
        <v>60</v>
      </c>
    </row>
    <row r="1591" spans="1:7" x14ac:dyDescent="0.2">
      <c r="A1591">
        <f t="shared" si="26"/>
        <v>133</v>
      </c>
      <c r="B1591" t="s">
        <v>5</v>
      </c>
      <c r="C1591">
        <f>IF(data!$B1591&lt;&gt;data!$B1590,1,C1590+1)</f>
        <v>6</v>
      </c>
      <c r="D1591">
        <v>13.221848749616356</v>
      </c>
      <c r="E1591" t="s">
        <v>7</v>
      </c>
      <c r="F1591" t="s">
        <v>12</v>
      </c>
      <c r="G1591">
        <v>60</v>
      </c>
    </row>
    <row r="1592" spans="1:7" x14ac:dyDescent="0.2">
      <c r="A1592">
        <f t="shared" si="26"/>
        <v>133</v>
      </c>
      <c r="B1592" t="s">
        <v>5</v>
      </c>
      <c r="C1592">
        <f>IF(data!$B1592&lt;&gt;data!$B1591,1,C1591+1)</f>
        <v>7</v>
      </c>
      <c r="D1592">
        <v>12.154901959985743</v>
      </c>
      <c r="E1592" t="s">
        <v>7</v>
      </c>
      <c r="F1592" t="s">
        <v>12</v>
      </c>
      <c r="G1592">
        <v>60</v>
      </c>
    </row>
    <row r="1593" spans="1:7" x14ac:dyDescent="0.2">
      <c r="A1593">
        <f t="shared" si="26"/>
        <v>133</v>
      </c>
      <c r="B1593" t="s">
        <v>5</v>
      </c>
      <c r="C1593">
        <f>IF(data!$B1593&lt;&gt;data!$B1592,1,C1592+1)</f>
        <v>8</v>
      </c>
      <c r="D1593">
        <v>11.096910013008056</v>
      </c>
      <c r="E1593" t="s">
        <v>7</v>
      </c>
      <c r="F1593" t="s">
        <v>12</v>
      </c>
      <c r="G1593">
        <v>60</v>
      </c>
    </row>
    <row r="1594" spans="1:7" x14ac:dyDescent="0.2">
      <c r="A1594">
        <f t="shared" si="26"/>
        <v>133</v>
      </c>
      <c r="B1594" t="s">
        <v>5</v>
      </c>
      <c r="C1594">
        <f>IF(data!$B1594&lt;&gt;data!$B1593,1,C1593+1)</f>
        <v>9</v>
      </c>
      <c r="D1594">
        <v>10.045757490560675</v>
      </c>
      <c r="E1594" t="s">
        <v>7</v>
      </c>
      <c r="F1594" t="s">
        <v>12</v>
      </c>
      <c r="G1594">
        <v>60</v>
      </c>
    </row>
    <row r="1595" spans="1:7" x14ac:dyDescent="0.2">
      <c r="A1595">
        <f t="shared" si="26"/>
        <v>133</v>
      </c>
      <c r="B1595" t="s">
        <v>5</v>
      </c>
      <c r="C1595">
        <f>IF(data!$B1595&lt;&gt;data!$B1594,1,C1594+1)</f>
        <v>10</v>
      </c>
      <c r="D1595">
        <v>9</v>
      </c>
      <c r="E1595" t="s">
        <v>7</v>
      </c>
      <c r="F1595" t="s">
        <v>12</v>
      </c>
      <c r="G1595">
        <v>60</v>
      </c>
    </row>
    <row r="1596" spans="1:7" x14ac:dyDescent="0.2">
      <c r="A1596">
        <f t="shared" si="26"/>
        <v>133</v>
      </c>
      <c r="B1596" t="s">
        <v>5</v>
      </c>
      <c r="C1596">
        <f>IF(data!$B1596&lt;&gt;data!$B1595,1,C1595+1)</f>
        <v>11</v>
      </c>
      <c r="D1596">
        <v>7.9586073148417746</v>
      </c>
      <c r="E1596" t="s">
        <v>7</v>
      </c>
      <c r="F1596" t="s">
        <v>12</v>
      </c>
      <c r="G1596">
        <v>60</v>
      </c>
    </row>
    <row r="1597" spans="1:7" x14ac:dyDescent="0.2">
      <c r="A1597">
        <f t="shared" si="26"/>
        <v>133</v>
      </c>
      <c r="B1597" t="s">
        <v>5</v>
      </c>
      <c r="C1597">
        <f>IF(data!$B1597&lt;&gt;data!$B1596,1,C1596+1)</f>
        <v>12</v>
      </c>
      <c r="D1597">
        <v>6.9208187539523749</v>
      </c>
      <c r="E1597" t="s">
        <v>7</v>
      </c>
      <c r="F1597" t="s">
        <v>12</v>
      </c>
      <c r="G1597">
        <v>60</v>
      </c>
    </row>
    <row r="1598" spans="1:7" x14ac:dyDescent="0.2">
      <c r="A1598">
        <f t="shared" si="26"/>
        <v>134</v>
      </c>
      <c r="B1598" t="s">
        <v>6</v>
      </c>
      <c r="C1598">
        <f>IF(data!$B1598&lt;&gt;data!$B1597,1,C1597+1)</f>
        <v>1</v>
      </c>
      <c r="D1598">
        <v>21</v>
      </c>
      <c r="E1598" t="s">
        <v>7</v>
      </c>
      <c r="F1598" t="s">
        <v>12</v>
      </c>
      <c r="G1598">
        <v>60</v>
      </c>
    </row>
    <row r="1599" spans="1:7" x14ac:dyDescent="0.2">
      <c r="A1599">
        <f t="shared" si="26"/>
        <v>134</v>
      </c>
      <c r="B1599" t="s">
        <v>6</v>
      </c>
      <c r="C1599">
        <f>IF(data!$B1599&lt;&gt;data!$B1598,1,C1598+1)</f>
        <v>2</v>
      </c>
      <c r="D1599">
        <v>19.198970004336019</v>
      </c>
      <c r="E1599" t="s">
        <v>7</v>
      </c>
      <c r="F1599" t="s">
        <v>12</v>
      </c>
      <c r="G1599">
        <v>60</v>
      </c>
    </row>
    <row r="1600" spans="1:7" x14ac:dyDescent="0.2">
      <c r="A1600">
        <f t="shared" si="26"/>
        <v>134</v>
      </c>
      <c r="B1600" t="s">
        <v>6</v>
      </c>
      <c r="C1600">
        <f>IF(data!$B1600&lt;&gt;data!$B1599,1,C1599+1)</f>
        <v>3</v>
      </c>
      <c r="D1600">
        <v>17.522878745280337</v>
      </c>
      <c r="E1600" t="s">
        <v>7</v>
      </c>
      <c r="F1600" t="s">
        <v>12</v>
      </c>
      <c r="G1600">
        <v>60</v>
      </c>
    </row>
    <row r="1601" spans="1:7" x14ac:dyDescent="0.2">
      <c r="A1601">
        <f t="shared" si="26"/>
        <v>134</v>
      </c>
      <c r="B1601" t="s">
        <v>6</v>
      </c>
      <c r="C1601">
        <f>IF(data!$B1601&lt;&gt;data!$B1600,1,C1600+1)</f>
        <v>4</v>
      </c>
      <c r="D1601">
        <v>15.897940008672037</v>
      </c>
      <c r="E1601" t="s">
        <v>7</v>
      </c>
      <c r="F1601" t="s">
        <v>12</v>
      </c>
      <c r="G1601">
        <v>60</v>
      </c>
    </row>
    <row r="1602" spans="1:7" x14ac:dyDescent="0.2">
      <c r="A1602">
        <f t="shared" si="26"/>
        <v>134</v>
      </c>
      <c r="B1602" t="s">
        <v>6</v>
      </c>
      <c r="C1602">
        <f>IF(data!$B1602&lt;&gt;data!$B1601,1,C1601+1)</f>
        <v>5</v>
      </c>
      <c r="D1602">
        <v>14.301029995663981</v>
      </c>
      <c r="E1602" t="s">
        <v>7</v>
      </c>
      <c r="F1602" t="s">
        <v>12</v>
      </c>
      <c r="G1602">
        <v>60</v>
      </c>
    </row>
    <row r="1603" spans="1:7" x14ac:dyDescent="0.2">
      <c r="A1603">
        <f t="shared" si="26"/>
        <v>134</v>
      </c>
      <c r="B1603" t="s">
        <v>6</v>
      </c>
      <c r="C1603">
        <f>IF(data!$B1603&lt;&gt;data!$B1602,1,C1602+1)</f>
        <v>6</v>
      </c>
      <c r="D1603">
        <v>12.721848749616356</v>
      </c>
      <c r="E1603" t="s">
        <v>7</v>
      </c>
      <c r="F1603" t="s">
        <v>12</v>
      </c>
      <c r="G1603">
        <v>60</v>
      </c>
    </row>
    <row r="1604" spans="1:7" x14ac:dyDescent="0.2">
      <c r="A1604">
        <f t="shared" si="26"/>
        <v>134</v>
      </c>
      <c r="B1604" t="s">
        <v>6</v>
      </c>
      <c r="C1604">
        <f>IF(data!$B1604&lt;&gt;data!$B1603,1,C1603+1)</f>
        <v>7</v>
      </c>
      <c r="D1604">
        <v>11.154901959985743</v>
      </c>
      <c r="E1604" t="s">
        <v>7</v>
      </c>
      <c r="F1604" t="s">
        <v>12</v>
      </c>
      <c r="G1604">
        <v>60</v>
      </c>
    </row>
    <row r="1605" spans="1:7" x14ac:dyDescent="0.2">
      <c r="A1605">
        <f t="shared" si="26"/>
        <v>134</v>
      </c>
      <c r="B1605" t="s">
        <v>6</v>
      </c>
      <c r="C1605">
        <f>IF(data!$B1605&lt;&gt;data!$B1604,1,C1604+1)</f>
        <v>8</v>
      </c>
      <c r="D1605">
        <v>9.5969100130080562</v>
      </c>
      <c r="E1605" t="s">
        <v>7</v>
      </c>
      <c r="F1605" t="s">
        <v>12</v>
      </c>
      <c r="G1605">
        <v>60</v>
      </c>
    </row>
    <row r="1606" spans="1:7" x14ac:dyDescent="0.2">
      <c r="A1606">
        <f t="shared" si="26"/>
        <v>134</v>
      </c>
      <c r="B1606" t="s">
        <v>6</v>
      </c>
      <c r="C1606">
        <f>IF(data!$B1606&lt;&gt;data!$B1605,1,C1605+1)</f>
        <v>9</v>
      </c>
      <c r="D1606">
        <v>8.0457574905606748</v>
      </c>
      <c r="E1606" t="s">
        <v>7</v>
      </c>
      <c r="F1606" t="s">
        <v>12</v>
      </c>
      <c r="G1606">
        <v>60</v>
      </c>
    </row>
    <row r="1607" spans="1:7" x14ac:dyDescent="0.2">
      <c r="A1607">
        <f t="shared" si="26"/>
        <v>134</v>
      </c>
      <c r="B1607" t="s">
        <v>6</v>
      </c>
      <c r="C1607">
        <f>IF(data!$B1607&lt;&gt;data!$B1606,1,C1606+1)</f>
        <v>10</v>
      </c>
      <c r="D1607">
        <v>6.5</v>
      </c>
      <c r="E1607" t="s">
        <v>7</v>
      </c>
      <c r="F1607" t="s">
        <v>12</v>
      </c>
      <c r="G1607">
        <v>60</v>
      </c>
    </row>
    <row r="1608" spans="1:7" x14ac:dyDescent="0.2">
      <c r="A1608">
        <f t="shared" si="26"/>
        <v>134</v>
      </c>
      <c r="B1608" t="s">
        <v>6</v>
      </c>
      <c r="C1608">
        <f>IF(data!$B1608&lt;&gt;data!$B1607,1,C1607+1)</f>
        <v>11</v>
      </c>
      <c r="D1608">
        <v>4.9586073148417746</v>
      </c>
      <c r="E1608" t="s">
        <v>7</v>
      </c>
      <c r="F1608" t="s">
        <v>12</v>
      </c>
      <c r="G1608">
        <v>60</v>
      </c>
    </row>
    <row r="1609" spans="1:7" x14ac:dyDescent="0.2">
      <c r="A1609">
        <f t="shared" si="26"/>
        <v>134</v>
      </c>
      <c r="B1609" t="s">
        <v>6</v>
      </c>
      <c r="C1609">
        <f>IF(data!$B1609&lt;&gt;data!$B1608,1,C1608+1)</f>
        <v>12</v>
      </c>
      <c r="D1609">
        <v>3.4208187539523749</v>
      </c>
      <c r="E1609" t="s">
        <v>7</v>
      </c>
      <c r="F1609" t="s">
        <v>12</v>
      </c>
      <c r="G1609">
        <v>60</v>
      </c>
    </row>
    <row r="1610" spans="1:7" x14ac:dyDescent="0.2">
      <c r="A1610">
        <f t="shared" si="26"/>
        <v>135</v>
      </c>
      <c r="B1610" t="s">
        <v>5</v>
      </c>
      <c r="C1610">
        <f>IF(data!$B1610&lt;&gt;data!$B1609,1,C1609+1)</f>
        <v>1</v>
      </c>
      <c r="D1610">
        <v>20</v>
      </c>
      <c r="E1610" t="s">
        <v>13</v>
      </c>
      <c r="F1610" t="s">
        <v>12</v>
      </c>
      <c r="G1610">
        <v>60</v>
      </c>
    </row>
    <row r="1611" spans="1:7" x14ac:dyDescent="0.2">
      <c r="A1611">
        <f t="shared" si="26"/>
        <v>135</v>
      </c>
      <c r="B1611" t="s">
        <v>5</v>
      </c>
      <c r="C1611">
        <f>IF(data!$B1611&lt;&gt;data!$B1610,1,C1610+1)</f>
        <v>2</v>
      </c>
      <c r="D1611">
        <v>19.198970004336019</v>
      </c>
      <c r="E1611" t="s">
        <v>13</v>
      </c>
      <c r="F1611" t="s">
        <v>12</v>
      </c>
      <c r="G1611">
        <v>60</v>
      </c>
    </row>
    <row r="1612" spans="1:7" x14ac:dyDescent="0.2">
      <c r="A1612">
        <f t="shared" si="26"/>
        <v>135</v>
      </c>
      <c r="B1612" t="s">
        <v>5</v>
      </c>
      <c r="C1612">
        <f>IF(data!$B1612&lt;&gt;data!$B1611,1,C1611+1)</f>
        <v>3</v>
      </c>
      <c r="D1612">
        <v>18.522878745280337</v>
      </c>
      <c r="E1612" t="s">
        <v>13</v>
      </c>
      <c r="F1612" t="s">
        <v>12</v>
      </c>
      <c r="G1612">
        <v>60</v>
      </c>
    </row>
    <row r="1613" spans="1:7" x14ac:dyDescent="0.2">
      <c r="A1613">
        <f t="shared" si="26"/>
        <v>135</v>
      </c>
      <c r="B1613" t="s">
        <v>5</v>
      </c>
      <c r="C1613">
        <f>IF(data!$B1613&lt;&gt;data!$B1612,1,C1612+1)</f>
        <v>4</v>
      </c>
      <c r="D1613">
        <v>17.897940008672037</v>
      </c>
      <c r="E1613" t="s">
        <v>13</v>
      </c>
      <c r="F1613" t="s">
        <v>12</v>
      </c>
      <c r="G1613">
        <v>60</v>
      </c>
    </row>
    <row r="1614" spans="1:7" x14ac:dyDescent="0.2">
      <c r="A1614">
        <f t="shared" si="26"/>
        <v>135</v>
      </c>
      <c r="B1614" t="s">
        <v>5</v>
      </c>
      <c r="C1614">
        <f>IF(data!$B1614&lt;&gt;data!$B1613,1,C1613+1)</f>
        <v>5</v>
      </c>
      <c r="D1614">
        <v>17.301029995663981</v>
      </c>
      <c r="E1614" t="s">
        <v>13</v>
      </c>
      <c r="F1614" t="s">
        <v>12</v>
      </c>
      <c r="G1614">
        <v>60</v>
      </c>
    </row>
    <row r="1615" spans="1:7" x14ac:dyDescent="0.2">
      <c r="A1615">
        <f t="shared" si="26"/>
        <v>135</v>
      </c>
      <c r="B1615" t="s">
        <v>5</v>
      </c>
      <c r="C1615">
        <f>IF(data!$B1615&lt;&gt;data!$B1614,1,C1614+1)</f>
        <v>6</v>
      </c>
      <c r="D1615">
        <v>16.721848749616356</v>
      </c>
      <c r="E1615" t="s">
        <v>13</v>
      </c>
      <c r="F1615" t="s">
        <v>12</v>
      </c>
      <c r="G1615">
        <v>60</v>
      </c>
    </row>
    <row r="1616" spans="1:7" x14ac:dyDescent="0.2">
      <c r="A1616">
        <f t="shared" si="26"/>
        <v>135</v>
      </c>
      <c r="B1616" t="s">
        <v>5</v>
      </c>
      <c r="C1616">
        <f>IF(data!$B1616&lt;&gt;data!$B1615,1,C1615+1)</f>
        <v>7</v>
      </c>
      <c r="D1616">
        <v>16.154901959985743</v>
      </c>
      <c r="E1616" t="s">
        <v>13</v>
      </c>
      <c r="F1616" t="s">
        <v>12</v>
      </c>
      <c r="G1616">
        <v>60</v>
      </c>
    </row>
    <row r="1617" spans="1:7" x14ac:dyDescent="0.2">
      <c r="A1617">
        <f t="shared" si="26"/>
        <v>135</v>
      </c>
      <c r="B1617" t="s">
        <v>5</v>
      </c>
      <c r="C1617">
        <f>IF(data!$B1617&lt;&gt;data!$B1616,1,C1616+1)</f>
        <v>8</v>
      </c>
      <c r="D1617">
        <v>15.596910013008056</v>
      </c>
      <c r="E1617" t="s">
        <v>13</v>
      </c>
      <c r="F1617" t="s">
        <v>12</v>
      </c>
      <c r="G1617">
        <v>60</v>
      </c>
    </row>
    <row r="1618" spans="1:7" x14ac:dyDescent="0.2">
      <c r="A1618">
        <f t="shared" si="26"/>
        <v>135</v>
      </c>
      <c r="B1618" t="s">
        <v>5</v>
      </c>
      <c r="C1618">
        <f>IF(data!$B1618&lt;&gt;data!$B1617,1,C1617+1)</f>
        <v>9</v>
      </c>
      <c r="D1618">
        <v>15.045757490560675</v>
      </c>
      <c r="E1618" t="s">
        <v>13</v>
      </c>
      <c r="F1618" t="s">
        <v>12</v>
      </c>
      <c r="G1618">
        <v>60</v>
      </c>
    </row>
    <row r="1619" spans="1:7" x14ac:dyDescent="0.2">
      <c r="A1619">
        <f t="shared" si="26"/>
        <v>135</v>
      </c>
      <c r="B1619" t="s">
        <v>5</v>
      </c>
      <c r="C1619">
        <f>IF(data!$B1619&lt;&gt;data!$B1618,1,C1618+1)</f>
        <v>10</v>
      </c>
      <c r="D1619">
        <v>14.5</v>
      </c>
      <c r="E1619" t="s">
        <v>13</v>
      </c>
      <c r="F1619" t="s">
        <v>12</v>
      </c>
      <c r="G1619">
        <v>60</v>
      </c>
    </row>
    <row r="1620" spans="1:7" x14ac:dyDescent="0.2">
      <c r="A1620">
        <f t="shared" si="26"/>
        <v>135</v>
      </c>
      <c r="B1620" t="s">
        <v>5</v>
      </c>
      <c r="C1620">
        <f>IF(data!$B1620&lt;&gt;data!$B1619,1,C1619+1)</f>
        <v>11</v>
      </c>
      <c r="D1620">
        <v>13.958607314841775</v>
      </c>
      <c r="E1620" t="s">
        <v>13</v>
      </c>
      <c r="F1620" t="s">
        <v>12</v>
      </c>
      <c r="G1620">
        <v>60</v>
      </c>
    </row>
    <row r="1621" spans="1:7" x14ac:dyDescent="0.2">
      <c r="A1621">
        <f t="shared" si="26"/>
        <v>135</v>
      </c>
      <c r="B1621" t="s">
        <v>5</v>
      </c>
      <c r="C1621">
        <f>IF(data!$B1621&lt;&gt;data!$B1620,1,C1620+1)</f>
        <v>12</v>
      </c>
      <c r="D1621">
        <v>13.420818753952375</v>
      </c>
      <c r="E1621" t="s">
        <v>13</v>
      </c>
      <c r="F1621" t="s">
        <v>12</v>
      </c>
      <c r="G1621">
        <v>60</v>
      </c>
    </row>
    <row r="1622" spans="1:7" x14ac:dyDescent="0.2">
      <c r="A1622">
        <f t="shared" si="26"/>
        <v>136</v>
      </c>
      <c r="B1622" t="s">
        <v>6</v>
      </c>
      <c r="C1622">
        <f>IF(data!$B1622&lt;&gt;data!$B1621,1,C1621+1)</f>
        <v>1</v>
      </c>
      <c r="D1622">
        <v>22</v>
      </c>
      <c r="E1622" t="s">
        <v>13</v>
      </c>
      <c r="F1622" t="s">
        <v>12</v>
      </c>
      <c r="G1622">
        <v>60</v>
      </c>
    </row>
    <row r="1623" spans="1:7" x14ac:dyDescent="0.2">
      <c r="A1623">
        <f t="shared" si="26"/>
        <v>136</v>
      </c>
      <c r="B1623" t="s">
        <v>6</v>
      </c>
      <c r="C1623">
        <f>IF(data!$B1623&lt;&gt;data!$B1622,1,C1622+1)</f>
        <v>2</v>
      </c>
      <c r="D1623">
        <v>20.498970004336019</v>
      </c>
      <c r="E1623" t="s">
        <v>13</v>
      </c>
      <c r="F1623" t="s">
        <v>12</v>
      </c>
      <c r="G1623">
        <v>60</v>
      </c>
    </row>
    <row r="1624" spans="1:7" x14ac:dyDescent="0.2">
      <c r="A1624">
        <f t="shared" si="26"/>
        <v>136</v>
      </c>
      <c r="B1624" t="s">
        <v>6</v>
      </c>
      <c r="C1624">
        <f>IF(data!$B1624&lt;&gt;data!$B1623,1,C1623+1)</f>
        <v>3</v>
      </c>
      <c r="D1624">
        <v>19.122878745280339</v>
      </c>
      <c r="E1624" t="s">
        <v>13</v>
      </c>
      <c r="F1624" t="s">
        <v>12</v>
      </c>
      <c r="G1624">
        <v>60</v>
      </c>
    </row>
    <row r="1625" spans="1:7" x14ac:dyDescent="0.2">
      <c r="A1625">
        <f t="shared" si="26"/>
        <v>136</v>
      </c>
      <c r="B1625" t="s">
        <v>6</v>
      </c>
      <c r="C1625">
        <f>IF(data!$B1625&lt;&gt;data!$B1624,1,C1624+1)</f>
        <v>4</v>
      </c>
      <c r="D1625">
        <v>17.79794000867204</v>
      </c>
      <c r="E1625" t="s">
        <v>13</v>
      </c>
      <c r="F1625" t="s">
        <v>12</v>
      </c>
      <c r="G1625">
        <v>60</v>
      </c>
    </row>
    <row r="1626" spans="1:7" x14ac:dyDescent="0.2">
      <c r="A1626">
        <f t="shared" si="26"/>
        <v>136</v>
      </c>
      <c r="B1626" t="s">
        <v>6</v>
      </c>
      <c r="C1626">
        <f>IF(data!$B1626&lt;&gt;data!$B1625,1,C1625+1)</f>
        <v>5</v>
      </c>
      <c r="D1626">
        <v>16.501029995663984</v>
      </c>
      <c r="E1626" t="s">
        <v>13</v>
      </c>
      <c r="F1626" t="s">
        <v>12</v>
      </c>
      <c r="G1626">
        <v>60</v>
      </c>
    </row>
    <row r="1627" spans="1:7" x14ac:dyDescent="0.2">
      <c r="A1627">
        <f t="shared" si="26"/>
        <v>136</v>
      </c>
      <c r="B1627" t="s">
        <v>6</v>
      </c>
      <c r="C1627">
        <f>IF(data!$B1627&lt;&gt;data!$B1626,1,C1626+1)</f>
        <v>6</v>
      </c>
      <c r="D1627">
        <v>15.22184874961636</v>
      </c>
      <c r="E1627" t="s">
        <v>13</v>
      </c>
      <c r="F1627" t="s">
        <v>12</v>
      </c>
      <c r="G1627">
        <v>60</v>
      </c>
    </row>
    <row r="1628" spans="1:7" x14ac:dyDescent="0.2">
      <c r="A1628">
        <f t="shared" si="26"/>
        <v>136</v>
      </c>
      <c r="B1628" t="s">
        <v>6</v>
      </c>
      <c r="C1628">
        <f>IF(data!$B1628&lt;&gt;data!$B1627,1,C1627+1)</f>
        <v>7</v>
      </c>
      <c r="D1628">
        <v>13.954901959985747</v>
      </c>
      <c r="E1628" t="s">
        <v>13</v>
      </c>
      <c r="F1628" t="s">
        <v>12</v>
      </c>
      <c r="G1628">
        <v>60</v>
      </c>
    </row>
    <row r="1629" spans="1:7" x14ac:dyDescent="0.2">
      <c r="A1629">
        <f t="shared" si="26"/>
        <v>136</v>
      </c>
      <c r="B1629" t="s">
        <v>6</v>
      </c>
      <c r="C1629">
        <f>IF(data!$B1629&lt;&gt;data!$B1628,1,C1628+1)</f>
        <v>8</v>
      </c>
      <c r="D1629">
        <v>12.696910013008061</v>
      </c>
      <c r="E1629" t="s">
        <v>13</v>
      </c>
      <c r="F1629" t="s">
        <v>12</v>
      </c>
      <c r="G1629">
        <v>60</v>
      </c>
    </row>
    <row r="1630" spans="1:7" x14ac:dyDescent="0.2">
      <c r="A1630">
        <f t="shared" si="26"/>
        <v>136</v>
      </c>
      <c r="B1630" t="s">
        <v>6</v>
      </c>
      <c r="C1630">
        <f>IF(data!$B1630&lt;&gt;data!$B1629,1,C1629+1)</f>
        <v>9</v>
      </c>
      <c r="D1630">
        <v>11.44575749056068</v>
      </c>
      <c r="E1630" t="s">
        <v>13</v>
      </c>
      <c r="F1630" t="s">
        <v>12</v>
      </c>
      <c r="G1630">
        <v>60</v>
      </c>
    </row>
    <row r="1631" spans="1:7" x14ac:dyDescent="0.2">
      <c r="A1631">
        <f t="shared" si="26"/>
        <v>136</v>
      </c>
      <c r="B1631" t="s">
        <v>6</v>
      </c>
      <c r="C1631">
        <f>IF(data!$B1631&lt;&gt;data!$B1630,1,C1630+1)</f>
        <v>10</v>
      </c>
      <c r="D1631">
        <v>10.200000000000006</v>
      </c>
      <c r="E1631" t="s">
        <v>13</v>
      </c>
      <c r="F1631" t="s">
        <v>12</v>
      </c>
      <c r="G1631">
        <v>60</v>
      </c>
    </row>
    <row r="1632" spans="1:7" x14ac:dyDescent="0.2">
      <c r="A1632">
        <f t="shared" si="26"/>
        <v>136</v>
      </c>
      <c r="B1632" t="s">
        <v>6</v>
      </c>
      <c r="C1632">
        <f>IF(data!$B1632&lt;&gt;data!$B1631,1,C1631+1)</f>
        <v>11</v>
      </c>
      <c r="D1632">
        <v>8.9586073148417817</v>
      </c>
      <c r="E1632" t="s">
        <v>13</v>
      </c>
      <c r="F1632" t="s">
        <v>12</v>
      </c>
      <c r="G1632">
        <v>60</v>
      </c>
    </row>
    <row r="1633" spans="1:7" x14ac:dyDescent="0.2">
      <c r="A1633">
        <f t="shared" si="26"/>
        <v>136</v>
      </c>
      <c r="B1633" t="s">
        <v>6</v>
      </c>
      <c r="C1633">
        <f>IF(data!$B1633&lt;&gt;data!$B1632,1,C1632+1)</f>
        <v>12</v>
      </c>
      <c r="D1633">
        <v>7.7208187539523827</v>
      </c>
      <c r="E1633" t="s">
        <v>13</v>
      </c>
      <c r="F1633" t="s">
        <v>12</v>
      </c>
      <c r="G1633">
        <v>60</v>
      </c>
    </row>
    <row r="1634" spans="1:7" x14ac:dyDescent="0.2">
      <c r="A1634">
        <f t="shared" si="26"/>
        <v>137</v>
      </c>
      <c r="B1634" t="s">
        <v>5</v>
      </c>
      <c r="C1634">
        <f>IF(data!$B1634&lt;&gt;data!$B1633,1,C1633+1)</f>
        <v>1</v>
      </c>
      <c r="D1634">
        <v>17</v>
      </c>
      <c r="E1634" t="s">
        <v>7</v>
      </c>
      <c r="F1634" t="s">
        <v>14</v>
      </c>
      <c r="G1634">
        <v>60</v>
      </c>
    </row>
    <row r="1635" spans="1:7" x14ac:dyDescent="0.2">
      <c r="A1635">
        <f t="shared" ref="A1635:A1698" si="27">IF(B1635=B1634,A1634,A1634+1)</f>
        <v>137</v>
      </c>
      <c r="B1635" t="s">
        <v>5</v>
      </c>
      <c r="C1635">
        <f>IF(data!$B1635&lt;&gt;data!$B1634,1,C1634+1)</f>
        <v>2</v>
      </c>
      <c r="D1635">
        <v>16</v>
      </c>
      <c r="E1635" t="s">
        <v>7</v>
      </c>
      <c r="F1635" t="s">
        <v>14</v>
      </c>
      <c r="G1635">
        <v>60</v>
      </c>
    </row>
    <row r="1636" spans="1:7" x14ac:dyDescent="0.2">
      <c r="A1636">
        <f t="shared" si="27"/>
        <v>137</v>
      </c>
      <c r="B1636" t="s">
        <v>5</v>
      </c>
      <c r="C1636">
        <f>IF(data!$B1636&lt;&gt;data!$B1635,1,C1635+1)</f>
        <v>3</v>
      </c>
      <c r="D1636">
        <v>15</v>
      </c>
      <c r="E1636" t="s">
        <v>7</v>
      </c>
      <c r="F1636" t="s">
        <v>14</v>
      </c>
      <c r="G1636">
        <v>60</v>
      </c>
    </row>
    <row r="1637" spans="1:7" x14ac:dyDescent="0.2">
      <c r="A1637">
        <f t="shared" si="27"/>
        <v>137</v>
      </c>
      <c r="B1637" t="s">
        <v>5</v>
      </c>
      <c r="C1637">
        <f>IF(data!$B1637&lt;&gt;data!$B1636,1,C1636+1)</f>
        <v>4</v>
      </c>
      <c r="D1637">
        <v>14</v>
      </c>
      <c r="E1637" t="s">
        <v>7</v>
      </c>
      <c r="F1637" t="s">
        <v>14</v>
      </c>
      <c r="G1637">
        <v>60</v>
      </c>
    </row>
    <row r="1638" spans="1:7" x14ac:dyDescent="0.2">
      <c r="A1638">
        <f t="shared" si="27"/>
        <v>137</v>
      </c>
      <c r="B1638" t="s">
        <v>5</v>
      </c>
      <c r="C1638">
        <f>IF(data!$B1638&lt;&gt;data!$B1637,1,C1637+1)</f>
        <v>5</v>
      </c>
      <c r="D1638">
        <v>13</v>
      </c>
      <c r="E1638" t="s">
        <v>7</v>
      </c>
      <c r="F1638" t="s">
        <v>14</v>
      </c>
      <c r="G1638">
        <v>60</v>
      </c>
    </row>
    <row r="1639" spans="1:7" x14ac:dyDescent="0.2">
      <c r="A1639">
        <f t="shared" si="27"/>
        <v>137</v>
      </c>
      <c r="B1639" t="s">
        <v>5</v>
      </c>
      <c r="C1639">
        <f>IF(data!$B1639&lt;&gt;data!$B1638,1,C1638+1)</f>
        <v>6</v>
      </c>
      <c r="D1639">
        <v>12</v>
      </c>
      <c r="E1639" t="s">
        <v>7</v>
      </c>
      <c r="F1639" t="s">
        <v>14</v>
      </c>
      <c r="G1639">
        <v>60</v>
      </c>
    </row>
    <row r="1640" spans="1:7" x14ac:dyDescent="0.2">
      <c r="A1640">
        <f t="shared" si="27"/>
        <v>137</v>
      </c>
      <c r="B1640" t="s">
        <v>5</v>
      </c>
      <c r="C1640">
        <f>IF(data!$B1640&lt;&gt;data!$B1639,1,C1639+1)</f>
        <v>7</v>
      </c>
      <c r="D1640">
        <v>11</v>
      </c>
      <c r="E1640" t="s">
        <v>7</v>
      </c>
      <c r="F1640" t="s">
        <v>14</v>
      </c>
      <c r="G1640">
        <v>60</v>
      </c>
    </row>
    <row r="1641" spans="1:7" x14ac:dyDescent="0.2">
      <c r="A1641">
        <f t="shared" si="27"/>
        <v>137</v>
      </c>
      <c r="B1641" t="s">
        <v>5</v>
      </c>
      <c r="C1641">
        <f>IF(data!$B1641&lt;&gt;data!$B1640,1,C1640+1)</f>
        <v>8</v>
      </c>
      <c r="D1641">
        <v>10</v>
      </c>
      <c r="E1641" t="s">
        <v>7</v>
      </c>
      <c r="F1641" t="s">
        <v>14</v>
      </c>
      <c r="G1641">
        <v>60</v>
      </c>
    </row>
    <row r="1642" spans="1:7" x14ac:dyDescent="0.2">
      <c r="A1642">
        <f t="shared" si="27"/>
        <v>137</v>
      </c>
      <c r="B1642" t="s">
        <v>5</v>
      </c>
      <c r="C1642">
        <f>IF(data!$B1642&lt;&gt;data!$B1641,1,C1641+1)</f>
        <v>9</v>
      </c>
      <c r="D1642">
        <v>9</v>
      </c>
      <c r="E1642" t="s">
        <v>7</v>
      </c>
      <c r="F1642" t="s">
        <v>14</v>
      </c>
      <c r="G1642">
        <v>60</v>
      </c>
    </row>
    <row r="1643" spans="1:7" x14ac:dyDescent="0.2">
      <c r="A1643">
        <f t="shared" si="27"/>
        <v>137</v>
      </c>
      <c r="B1643" t="s">
        <v>5</v>
      </c>
      <c r="C1643">
        <f>IF(data!$B1643&lt;&gt;data!$B1642,1,C1642+1)</f>
        <v>10</v>
      </c>
      <c r="D1643">
        <v>8</v>
      </c>
      <c r="E1643" t="s">
        <v>7</v>
      </c>
      <c r="F1643" t="s">
        <v>14</v>
      </c>
      <c r="G1643">
        <v>60</v>
      </c>
    </row>
    <row r="1644" spans="1:7" x14ac:dyDescent="0.2">
      <c r="A1644">
        <f t="shared" si="27"/>
        <v>137</v>
      </c>
      <c r="B1644" t="s">
        <v>5</v>
      </c>
      <c r="C1644">
        <f>IF(data!$B1644&lt;&gt;data!$B1643,1,C1643+1)</f>
        <v>11</v>
      </c>
      <c r="D1644">
        <v>7</v>
      </c>
      <c r="E1644" t="s">
        <v>7</v>
      </c>
      <c r="F1644" t="s">
        <v>14</v>
      </c>
      <c r="G1644">
        <v>60</v>
      </c>
    </row>
    <row r="1645" spans="1:7" x14ac:dyDescent="0.2">
      <c r="A1645">
        <f t="shared" si="27"/>
        <v>137</v>
      </c>
      <c r="B1645" t="s">
        <v>5</v>
      </c>
      <c r="C1645">
        <f>IF(data!$B1645&lt;&gt;data!$B1644,1,C1644+1)</f>
        <v>12</v>
      </c>
      <c r="D1645">
        <v>6</v>
      </c>
      <c r="E1645" t="s">
        <v>7</v>
      </c>
      <c r="F1645" t="s">
        <v>14</v>
      </c>
      <c r="G1645">
        <v>60</v>
      </c>
    </row>
    <row r="1646" spans="1:7" x14ac:dyDescent="0.2">
      <c r="A1646">
        <f t="shared" si="27"/>
        <v>138</v>
      </c>
      <c r="B1646" t="s">
        <v>6</v>
      </c>
      <c r="C1646">
        <f>IF(data!$B1646&lt;&gt;data!$B1645,1,C1645+1)</f>
        <v>1</v>
      </c>
      <c r="D1646">
        <v>19</v>
      </c>
      <c r="E1646" t="s">
        <v>7</v>
      </c>
      <c r="F1646" t="s">
        <v>14</v>
      </c>
      <c r="G1646">
        <v>60</v>
      </c>
    </row>
    <row r="1647" spans="1:7" x14ac:dyDescent="0.2">
      <c r="A1647">
        <f t="shared" si="27"/>
        <v>138</v>
      </c>
      <c r="B1647" t="s">
        <v>6</v>
      </c>
      <c r="C1647">
        <f>IF(data!$B1647&lt;&gt;data!$B1646,1,C1646+1)</f>
        <v>2</v>
      </c>
      <c r="D1647">
        <v>17.5</v>
      </c>
      <c r="E1647" t="s">
        <v>7</v>
      </c>
      <c r="F1647" t="s">
        <v>14</v>
      </c>
      <c r="G1647">
        <v>60</v>
      </c>
    </row>
    <row r="1648" spans="1:7" x14ac:dyDescent="0.2">
      <c r="A1648">
        <f t="shared" si="27"/>
        <v>138</v>
      </c>
      <c r="B1648" t="s">
        <v>6</v>
      </c>
      <c r="C1648">
        <f>IF(data!$B1648&lt;&gt;data!$B1647,1,C1647+1)</f>
        <v>3</v>
      </c>
      <c r="D1648">
        <v>16</v>
      </c>
      <c r="E1648" t="s">
        <v>7</v>
      </c>
      <c r="F1648" t="s">
        <v>14</v>
      </c>
      <c r="G1648">
        <v>60</v>
      </c>
    </row>
    <row r="1649" spans="1:7" x14ac:dyDescent="0.2">
      <c r="A1649">
        <f t="shared" si="27"/>
        <v>138</v>
      </c>
      <c r="B1649" t="s">
        <v>6</v>
      </c>
      <c r="C1649">
        <f>IF(data!$B1649&lt;&gt;data!$B1648,1,C1648+1)</f>
        <v>4</v>
      </c>
      <c r="D1649">
        <v>14.5</v>
      </c>
      <c r="E1649" t="s">
        <v>7</v>
      </c>
      <c r="F1649" t="s">
        <v>14</v>
      </c>
      <c r="G1649">
        <v>60</v>
      </c>
    </row>
    <row r="1650" spans="1:7" x14ac:dyDescent="0.2">
      <c r="A1650">
        <f t="shared" si="27"/>
        <v>138</v>
      </c>
      <c r="B1650" t="s">
        <v>6</v>
      </c>
      <c r="C1650">
        <f>IF(data!$B1650&lt;&gt;data!$B1649,1,C1649+1)</f>
        <v>5</v>
      </c>
      <c r="D1650">
        <v>13</v>
      </c>
      <c r="E1650" t="s">
        <v>7</v>
      </c>
      <c r="F1650" t="s">
        <v>14</v>
      </c>
      <c r="G1650">
        <v>60</v>
      </c>
    </row>
    <row r="1651" spans="1:7" x14ac:dyDescent="0.2">
      <c r="A1651">
        <f t="shared" si="27"/>
        <v>138</v>
      </c>
      <c r="B1651" t="s">
        <v>6</v>
      </c>
      <c r="C1651">
        <f>IF(data!$B1651&lt;&gt;data!$B1650,1,C1650+1)</f>
        <v>6</v>
      </c>
      <c r="D1651">
        <v>11.5</v>
      </c>
      <c r="E1651" t="s">
        <v>7</v>
      </c>
      <c r="F1651" t="s">
        <v>14</v>
      </c>
      <c r="G1651">
        <v>60</v>
      </c>
    </row>
    <row r="1652" spans="1:7" x14ac:dyDescent="0.2">
      <c r="A1652">
        <f t="shared" si="27"/>
        <v>138</v>
      </c>
      <c r="B1652" t="s">
        <v>6</v>
      </c>
      <c r="C1652">
        <f>IF(data!$B1652&lt;&gt;data!$B1651,1,C1651+1)</f>
        <v>7</v>
      </c>
      <c r="D1652">
        <v>10</v>
      </c>
      <c r="E1652" t="s">
        <v>7</v>
      </c>
      <c r="F1652" t="s">
        <v>14</v>
      </c>
      <c r="G1652">
        <v>60</v>
      </c>
    </row>
    <row r="1653" spans="1:7" x14ac:dyDescent="0.2">
      <c r="A1653">
        <f t="shared" si="27"/>
        <v>138</v>
      </c>
      <c r="B1653" t="s">
        <v>6</v>
      </c>
      <c r="C1653">
        <f>IF(data!$B1653&lt;&gt;data!$B1652,1,C1652+1)</f>
        <v>8</v>
      </c>
      <c r="D1653">
        <v>8.5</v>
      </c>
      <c r="E1653" t="s">
        <v>7</v>
      </c>
      <c r="F1653" t="s">
        <v>14</v>
      </c>
      <c r="G1653">
        <v>60</v>
      </c>
    </row>
    <row r="1654" spans="1:7" x14ac:dyDescent="0.2">
      <c r="A1654">
        <f t="shared" si="27"/>
        <v>138</v>
      </c>
      <c r="B1654" t="s">
        <v>6</v>
      </c>
      <c r="C1654">
        <f>IF(data!$B1654&lt;&gt;data!$B1653,1,C1653+1)</f>
        <v>9</v>
      </c>
      <c r="D1654">
        <v>7</v>
      </c>
      <c r="E1654" t="s">
        <v>7</v>
      </c>
      <c r="F1654" t="s">
        <v>14</v>
      </c>
      <c r="G1654">
        <v>60</v>
      </c>
    </row>
    <row r="1655" spans="1:7" x14ac:dyDescent="0.2">
      <c r="A1655">
        <f t="shared" si="27"/>
        <v>138</v>
      </c>
      <c r="B1655" t="s">
        <v>6</v>
      </c>
      <c r="C1655">
        <f>IF(data!$B1655&lt;&gt;data!$B1654,1,C1654+1)</f>
        <v>10</v>
      </c>
      <c r="D1655">
        <v>5.5</v>
      </c>
      <c r="E1655" t="s">
        <v>7</v>
      </c>
      <c r="F1655" t="s">
        <v>14</v>
      </c>
      <c r="G1655">
        <v>60</v>
      </c>
    </row>
    <row r="1656" spans="1:7" x14ac:dyDescent="0.2">
      <c r="A1656">
        <f t="shared" si="27"/>
        <v>138</v>
      </c>
      <c r="B1656" t="s">
        <v>6</v>
      </c>
      <c r="C1656">
        <f>IF(data!$B1656&lt;&gt;data!$B1655,1,C1655+1)</f>
        <v>11</v>
      </c>
      <c r="D1656">
        <v>4</v>
      </c>
      <c r="E1656" t="s">
        <v>7</v>
      </c>
      <c r="F1656" t="s">
        <v>14</v>
      </c>
      <c r="G1656">
        <v>60</v>
      </c>
    </row>
    <row r="1657" spans="1:7" x14ac:dyDescent="0.2">
      <c r="A1657">
        <f t="shared" si="27"/>
        <v>138</v>
      </c>
      <c r="B1657" t="s">
        <v>6</v>
      </c>
      <c r="C1657">
        <f>IF(data!$B1657&lt;&gt;data!$B1656,1,C1656+1)</f>
        <v>12</v>
      </c>
      <c r="D1657">
        <v>2.5</v>
      </c>
      <c r="E1657" t="s">
        <v>7</v>
      </c>
      <c r="F1657" t="s">
        <v>14</v>
      </c>
      <c r="G1657">
        <v>60</v>
      </c>
    </row>
    <row r="1658" spans="1:7" x14ac:dyDescent="0.2">
      <c r="A1658">
        <f t="shared" si="27"/>
        <v>139</v>
      </c>
      <c r="B1658" t="s">
        <v>5</v>
      </c>
      <c r="C1658">
        <f>IF(data!$B1658&lt;&gt;data!$B1657,1,C1657+1)</f>
        <v>1</v>
      </c>
      <c r="D1658">
        <v>18</v>
      </c>
      <c r="E1658" t="s">
        <v>13</v>
      </c>
      <c r="F1658" t="s">
        <v>14</v>
      </c>
      <c r="G1658">
        <v>60</v>
      </c>
    </row>
    <row r="1659" spans="1:7" x14ac:dyDescent="0.2">
      <c r="A1659">
        <f t="shared" si="27"/>
        <v>139</v>
      </c>
      <c r="B1659" t="s">
        <v>5</v>
      </c>
      <c r="C1659">
        <f>IF(data!$B1659&lt;&gt;data!$B1658,1,C1658+1)</f>
        <v>2</v>
      </c>
      <c r="D1659">
        <v>17.5</v>
      </c>
      <c r="E1659" t="s">
        <v>13</v>
      </c>
      <c r="F1659" t="s">
        <v>14</v>
      </c>
      <c r="G1659">
        <v>60</v>
      </c>
    </row>
    <row r="1660" spans="1:7" x14ac:dyDescent="0.2">
      <c r="A1660">
        <f t="shared" si="27"/>
        <v>139</v>
      </c>
      <c r="B1660" t="s">
        <v>5</v>
      </c>
      <c r="C1660">
        <f>IF(data!$B1660&lt;&gt;data!$B1659,1,C1659+1)</f>
        <v>3</v>
      </c>
      <c r="D1660">
        <v>17</v>
      </c>
      <c r="E1660" t="s">
        <v>13</v>
      </c>
      <c r="F1660" t="s">
        <v>14</v>
      </c>
      <c r="G1660">
        <v>60</v>
      </c>
    </row>
    <row r="1661" spans="1:7" x14ac:dyDescent="0.2">
      <c r="A1661">
        <f t="shared" si="27"/>
        <v>139</v>
      </c>
      <c r="B1661" t="s">
        <v>5</v>
      </c>
      <c r="C1661">
        <f>IF(data!$B1661&lt;&gt;data!$B1660,1,C1660+1)</f>
        <v>4</v>
      </c>
      <c r="D1661">
        <v>16.5</v>
      </c>
      <c r="E1661" t="s">
        <v>13</v>
      </c>
      <c r="F1661" t="s">
        <v>14</v>
      </c>
      <c r="G1661">
        <v>60</v>
      </c>
    </row>
    <row r="1662" spans="1:7" x14ac:dyDescent="0.2">
      <c r="A1662">
        <f t="shared" si="27"/>
        <v>139</v>
      </c>
      <c r="B1662" t="s">
        <v>5</v>
      </c>
      <c r="C1662">
        <f>IF(data!$B1662&lt;&gt;data!$B1661,1,C1661+1)</f>
        <v>5</v>
      </c>
      <c r="D1662">
        <v>16</v>
      </c>
      <c r="E1662" t="s">
        <v>13</v>
      </c>
      <c r="F1662" t="s">
        <v>14</v>
      </c>
      <c r="G1662">
        <v>60</v>
      </c>
    </row>
    <row r="1663" spans="1:7" x14ac:dyDescent="0.2">
      <c r="A1663">
        <f t="shared" si="27"/>
        <v>139</v>
      </c>
      <c r="B1663" t="s">
        <v>5</v>
      </c>
      <c r="C1663">
        <f>IF(data!$B1663&lt;&gt;data!$B1662,1,C1662+1)</f>
        <v>6</v>
      </c>
      <c r="D1663">
        <v>15.5</v>
      </c>
      <c r="E1663" t="s">
        <v>13</v>
      </c>
      <c r="F1663" t="s">
        <v>14</v>
      </c>
      <c r="G1663">
        <v>60</v>
      </c>
    </row>
    <row r="1664" spans="1:7" x14ac:dyDescent="0.2">
      <c r="A1664">
        <f t="shared" si="27"/>
        <v>139</v>
      </c>
      <c r="B1664" t="s">
        <v>5</v>
      </c>
      <c r="C1664">
        <f>IF(data!$B1664&lt;&gt;data!$B1663,1,C1663+1)</f>
        <v>7</v>
      </c>
      <c r="D1664">
        <v>15</v>
      </c>
      <c r="E1664" t="s">
        <v>13</v>
      </c>
      <c r="F1664" t="s">
        <v>14</v>
      </c>
      <c r="G1664">
        <v>60</v>
      </c>
    </row>
    <row r="1665" spans="1:7" x14ac:dyDescent="0.2">
      <c r="A1665">
        <f t="shared" si="27"/>
        <v>139</v>
      </c>
      <c r="B1665" t="s">
        <v>5</v>
      </c>
      <c r="C1665">
        <f>IF(data!$B1665&lt;&gt;data!$B1664,1,C1664+1)</f>
        <v>8</v>
      </c>
      <c r="D1665">
        <v>14.5</v>
      </c>
      <c r="E1665" t="s">
        <v>13</v>
      </c>
      <c r="F1665" t="s">
        <v>14</v>
      </c>
      <c r="G1665">
        <v>60</v>
      </c>
    </row>
    <row r="1666" spans="1:7" x14ac:dyDescent="0.2">
      <c r="A1666">
        <f t="shared" si="27"/>
        <v>139</v>
      </c>
      <c r="B1666" t="s">
        <v>5</v>
      </c>
      <c r="C1666">
        <f>IF(data!$B1666&lt;&gt;data!$B1665,1,C1665+1)</f>
        <v>9</v>
      </c>
      <c r="D1666">
        <v>14</v>
      </c>
      <c r="E1666" t="s">
        <v>13</v>
      </c>
      <c r="F1666" t="s">
        <v>14</v>
      </c>
      <c r="G1666">
        <v>60</v>
      </c>
    </row>
    <row r="1667" spans="1:7" x14ac:dyDescent="0.2">
      <c r="A1667">
        <f t="shared" si="27"/>
        <v>139</v>
      </c>
      <c r="B1667" t="s">
        <v>5</v>
      </c>
      <c r="C1667">
        <f>IF(data!$B1667&lt;&gt;data!$B1666,1,C1666+1)</f>
        <v>10</v>
      </c>
      <c r="D1667">
        <v>13.5</v>
      </c>
      <c r="E1667" t="s">
        <v>13</v>
      </c>
      <c r="F1667" t="s">
        <v>14</v>
      </c>
      <c r="G1667">
        <v>60</v>
      </c>
    </row>
    <row r="1668" spans="1:7" x14ac:dyDescent="0.2">
      <c r="A1668">
        <f t="shared" si="27"/>
        <v>139</v>
      </c>
      <c r="B1668" t="s">
        <v>5</v>
      </c>
      <c r="C1668">
        <f>IF(data!$B1668&lt;&gt;data!$B1667,1,C1667+1)</f>
        <v>11</v>
      </c>
      <c r="D1668">
        <v>13</v>
      </c>
      <c r="E1668" t="s">
        <v>13</v>
      </c>
      <c r="F1668" t="s">
        <v>14</v>
      </c>
      <c r="G1668">
        <v>60</v>
      </c>
    </row>
    <row r="1669" spans="1:7" x14ac:dyDescent="0.2">
      <c r="A1669">
        <f t="shared" si="27"/>
        <v>139</v>
      </c>
      <c r="B1669" t="s">
        <v>5</v>
      </c>
      <c r="C1669">
        <f>IF(data!$B1669&lt;&gt;data!$B1668,1,C1668+1)</f>
        <v>12</v>
      </c>
      <c r="D1669">
        <v>12.5</v>
      </c>
      <c r="E1669" t="s">
        <v>13</v>
      </c>
      <c r="F1669" t="s">
        <v>14</v>
      </c>
      <c r="G1669">
        <v>60</v>
      </c>
    </row>
    <row r="1670" spans="1:7" x14ac:dyDescent="0.2">
      <c r="A1670">
        <f t="shared" si="27"/>
        <v>140</v>
      </c>
      <c r="B1670" t="s">
        <v>6</v>
      </c>
      <c r="C1670">
        <f>IF(data!$B1670&lt;&gt;data!$B1669,1,C1669+1)</f>
        <v>1</v>
      </c>
      <c r="D1670">
        <v>20</v>
      </c>
      <c r="E1670" t="s">
        <v>13</v>
      </c>
      <c r="F1670" t="s">
        <v>14</v>
      </c>
      <c r="G1670">
        <v>60</v>
      </c>
    </row>
    <row r="1671" spans="1:7" x14ac:dyDescent="0.2">
      <c r="A1671">
        <f t="shared" si="27"/>
        <v>140</v>
      </c>
      <c r="B1671" t="s">
        <v>6</v>
      </c>
      <c r="C1671">
        <f>IF(data!$B1671&lt;&gt;data!$B1670,1,C1670+1)</f>
        <v>2</v>
      </c>
      <c r="D1671">
        <v>18.8</v>
      </c>
      <c r="E1671" t="s">
        <v>13</v>
      </c>
      <c r="F1671" t="s">
        <v>14</v>
      </c>
      <c r="G1671">
        <v>60</v>
      </c>
    </row>
    <row r="1672" spans="1:7" x14ac:dyDescent="0.2">
      <c r="A1672">
        <f t="shared" si="27"/>
        <v>140</v>
      </c>
      <c r="B1672" t="s">
        <v>6</v>
      </c>
      <c r="C1672">
        <f>IF(data!$B1672&lt;&gt;data!$B1671,1,C1671+1)</f>
        <v>3</v>
      </c>
      <c r="D1672">
        <v>17.600000000000001</v>
      </c>
      <c r="E1672" t="s">
        <v>13</v>
      </c>
      <c r="F1672" t="s">
        <v>14</v>
      </c>
      <c r="G1672">
        <v>60</v>
      </c>
    </row>
    <row r="1673" spans="1:7" x14ac:dyDescent="0.2">
      <c r="A1673">
        <f t="shared" si="27"/>
        <v>140</v>
      </c>
      <c r="B1673" t="s">
        <v>6</v>
      </c>
      <c r="C1673">
        <f>IF(data!$B1673&lt;&gt;data!$B1672,1,C1672+1)</f>
        <v>4</v>
      </c>
      <c r="D1673">
        <v>16.400000000000002</v>
      </c>
      <c r="E1673" t="s">
        <v>13</v>
      </c>
      <c r="F1673" t="s">
        <v>14</v>
      </c>
      <c r="G1673">
        <v>60</v>
      </c>
    </row>
    <row r="1674" spans="1:7" x14ac:dyDescent="0.2">
      <c r="A1674">
        <f t="shared" si="27"/>
        <v>140</v>
      </c>
      <c r="B1674" t="s">
        <v>6</v>
      </c>
      <c r="C1674">
        <f>IF(data!$B1674&lt;&gt;data!$B1673,1,C1673+1)</f>
        <v>5</v>
      </c>
      <c r="D1674">
        <v>15.200000000000003</v>
      </c>
      <c r="E1674" t="s">
        <v>13</v>
      </c>
      <c r="F1674" t="s">
        <v>14</v>
      </c>
      <c r="G1674">
        <v>60</v>
      </c>
    </row>
    <row r="1675" spans="1:7" x14ac:dyDescent="0.2">
      <c r="A1675">
        <f t="shared" si="27"/>
        <v>140</v>
      </c>
      <c r="B1675" t="s">
        <v>6</v>
      </c>
      <c r="C1675">
        <f>IF(data!$B1675&lt;&gt;data!$B1674,1,C1674+1)</f>
        <v>6</v>
      </c>
      <c r="D1675">
        <v>14.000000000000004</v>
      </c>
      <c r="E1675" t="s">
        <v>13</v>
      </c>
      <c r="F1675" t="s">
        <v>14</v>
      </c>
      <c r="G1675">
        <v>60</v>
      </c>
    </row>
    <row r="1676" spans="1:7" x14ac:dyDescent="0.2">
      <c r="A1676">
        <f t="shared" si="27"/>
        <v>140</v>
      </c>
      <c r="B1676" t="s">
        <v>6</v>
      </c>
      <c r="C1676">
        <f>IF(data!$B1676&lt;&gt;data!$B1675,1,C1675+1)</f>
        <v>7</v>
      </c>
      <c r="D1676">
        <v>12.800000000000004</v>
      </c>
      <c r="E1676" t="s">
        <v>13</v>
      </c>
      <c r="F1676" t="s">
        <v>14</v>
      </c>
      <c r="G1676">
        <v>60</v>
      </c>
    </row>
    <row r="1677" spans="1:7" x14ac:dyDescent="0.2">
      <c r="A1677">
        <f t="shared" si="27"/>
        <v>140</v>
      </c>
      <c r="B1677" t="s">
        <v>6</v>
      </c>
      <c r="C1677">
        <f>IF(data!$B1677&lt;&gt;data!$B1676,1,C1676+1)</f>
        <v>8</v>
      </c>
      <c r="D1677">
        <v>11.600000000000005</v>
      </c>
      <c r="E1677" t="s">
        <v>13</v>
      </c>
      <c r="F1677" t="s">
        <v>14</v>
      </c>
      <c r="G1677">
        <v>60</v>
      </c>
    </row>
    <row r="1678" spans="1:7" x14ac:dyDescent="0.2">
      <c r="A1678">
        <f t="shared" si="27"/>
        <v>140</v>
      </c>
      <c r="B1678" t="s">
        <v>6</v>
      </c>
      <c r="C1678">
        <f>IF(data!$B1678&lt;&gt;data!$B1677,1,C1677+1)</f>
        <v>9</v>
      </c>
      <c r="D1678">
        <v>10.400000000000006</v>
      </c>
      <c r="E1678" t="s">
        <v>13</v>
      </c>
      <c r="F1678" t="s">
        <v>14</v>
      </c>
      <c r="G1678">
        <v>60</v>
      </c>
    </row>
    <row r="1679" spans="1:7" x14ac:dyDescent="0.2">
      <c r="A1679">
        <f t="shared" si="27"/>
        <v>140</v>
      </c>
      <c r="B1679" t="s">
        <v>6</v>
      </c>
      <c r="C1679">
        <f>IF(data!$B1679&lt;&gt;data!$B1678,1,C1678+1)</f>
        <v>10</v>
      </c>
      <c r="D1679">
        <v>9.2000000000000064</v>
      </c>
      <c r="E1679" t="s">
        <v>13</v>
      </c>
      <c r="F1679" t="s">
        <v>14</v>
      </c>
      <c r="G1679">
        <v>60</v>
      </c>
    </row>
    <row r="1680" spans="1:7" x14ac:dyDescent="0.2">
      <c r="A1680">
        <f t="shared" si="27"/>
        <v>140</v>
      </c>
      <c r="B1680" t="s">
        <v>6</v>
      </c>
      <c r="C1680">
        <f>IF(data!$B1680&lt;&gt;data!$B1679,1,C1679+1)</f>
        <v>11</v>
      </c>
      <c r="D1680">
        <v>8.0000000000000071</v>
      </c>
      <c r="E1680" t="s">
        <v>13</v>
      </c>
      <c r="F1680" t="s">
        <v>14</v>
      </c>
      <c r="G1680">
        <v>60</v>
      </c>
    </row>
    <row r="1681" spans="1:7" x14ac:dyDescent="0.2">
      <c r="A1681">
        <f t="shared" si="27"/>
        <v>140</v>
      </c>
      <c r="B1681" t="s">
        <v>6</v>
      </c>
      <c r="C1681">
        <f>IF(data!$B1681&lt;&gt;data!$B1680,1,C1680+1)</f>
        <v>12</v>
      </c>
      <c r="D1681">
        <v>6.8000000000000069</v>
      </c>
      <c r="E1681" t="s">
        <v>13</v>
      </c>
      <c r="F1681" t="s">
        <v>14</v>
      </c>
      <c r="G1681">
        <v>60</v>
      </c>
    </row>
    <row r="1682" spans="1:7" x14ac:dyDescent="0.2">
      <c r="A1682">
        <f t="shared" si="27"/>
        <v>141</v>
      </c>
      <c r="B1682" t="s">
        <v>5</v>
      </c>
      <c r="C1682">
        <f>IF(data!$B1682&lt;&gt;data!$B1681,1,C1681+1)</f>
        <v>1</v>
      </c>
      <c r="D1682">
        <v>17</v>
      </c>
      <c r="E1682" t="s">
        <v>7</v>
      </c>
      <c r="F1682" t="s">
        <v>12</v>
      </c>
      <c r="G1682">
        <v>60</v>
      </c>
    </row>
    <row r="1683" spans="1:7" x14ac:dyDescent="0.2">
      <c r="A1683">
        <f t="shared" si="27"/>
        <v>141</v>
      </c>
      <c r="B1683" t="s">
        <v>5</v>
      </c>
      <c r="C1683">
        <f>IF(data!$B1683&lt;&gt;data!$B1682,1,C1682+1)</f>
        <v>2</v>
      </c>
      <c r="D1683">
        <v>15.698970004336019</v>
      </c>
      <c r="E1683" t="s">
        <v>7</v>
      </c>
      <c r="F1683" t="s">
        <v>12</v>
      </c>
      <c r="G1683">
        <v>60</v>
      </c>
    </row>
    <row r="1684" spans="1:7" x14ac:dyDescent="0.2">
      <c r="A1684">
        <f t="shared" si="27"/>
        <v>141</v>
      </c>
      <c r="B1684" t="s">
        <v>5</v>
      </c>
      <c r="C1684">
        <f>IF(data!$B1684&lt;&gt;data!$B1683,1,C1683+1)</f>
        <v>3</v>
      </c>
      <c r="D1684">
        <v>14.522878745280337</v>
      </c>
      <c r="E1684" t="s">
        <v>7</v>
      </c>
      <c r="F1684" t="s">
        <v>12</v>
      </c>
      <c r="G1684">
        <v>60</v>
      </c>
    </row>
    <row r="1685" spans="1:7" x14ac:dyDescent="0.2">
      <c r="A1685">
        <f t="shared" si="27"/>
        <v>141</v>
      </c>
      <c r="B1685" t="s">
        <v>5</v>
      </c>
      <c r="C1685">
        <f>IF(data!$B1685&lt;&gt;data!$B1684,1,C1684+1)</f>
        <v>4</v>
      </c>
      <c r="D1685">
        <v>13.397940008672037</v>
      </c>
      <c r="E1685" t="s">
        <v>7</v>
      </c>
      <c r="F1685" t="s">
        <v>12</v>
      </c>
      <c r="G1685">
        <v>60</v>
      </c>
    </row>
    <row r="1686" spans="1:7" x14ac:dyDescent="0.2">
      <c r="A1686">
        <f t="shared" si="27"/>
        <v>141</v>
      </c>
      <c r="B1686" t="s">
        <v>5</v>
      </c>
      <c r="C1686">
        <f>IF(data!$B1686&lt;&gt;data!$B1685,1,C1685+1)</f>
        <v>5</v>
      </c>
      <c r="D1686">
        <v>12.301029995663981</v>
      </c>
      <c r="E1686" t="s">
        <v>7</v>
      </c>
      <c r="F1686" t="s">
        <v>12</v>
      </c>
      <c r="G1686">
        <v>60</v>
      </c>
    </row>
    <row r="1687" spans="1:7" x14ac:dyDescent="0.2">
      <c r="A1687">
        <f t="shared" si="27"/>
        <v>141</v>
      </c>
      <c r="B1687" t="s">
        <v>5</v>
      </c>
      <c r="C1687">
        <f>IF(data!$B1687&lt;&gt;data!$B1686,1,C1686+1)</f>
        <v>6</v>
      </c>
      <c r="D1687">
        <v>11.221848749616356</v>
      </c>
      <c r="E1687" t="s">
        <v>7</v>
      </c>
      <c r="F1687" t="s">
        <v>12</v>
      </c>
      <c r="G1687">
        <v>60</v>
      </c>
    </row>
    <row r="1688" spans="1:7" x14ac:dyDescent="0.2">
      <c r="A1688">
        <f t="shared" si="27"/>
        <v>141</v>
      </c>
      <c r="B1688" t="s">
        <v>5</v>
      </c>
      <c r="C1688">
        <f>IF(data!$B1688&lt;&gt;data!$B1687,1,C1687+1)</f>
        <v>7</v>
      </c>
      <c r="D1688">
        <v>10.154901959985743</v>
      </c>
      <c r="E1688" t="s">
        <v>7</v>
      </c>
      <c r="F1688" t="s">
        <v>12</v>
      </c>
      <c r="G1688">
        <v>60</v>
      </c>
    </row>
    <row r="1689" spans="1:7" x14ac:dyDescent="0.2">
      <c r="A1689">
        <f t="shared" si="27"/>
        <v>141</v>
      </c>
      <c r="B1689" t="s">
        <v>5</v>
      </c>
      <c r="C1689">
        <f>IF(data!$B1689&lt;&gt;data!$B1688,1,C1688+1)</f>
        <v>8</v>
      </c>
      <c r="D1689">
        <v>9.0969100130080562</v>
      </c>
      <c r="E1689" t="s">
        <v>7</v>
      </c>
      <c r="F1689" t="s">
        <v>12</v>
      </c>
      <c r="G1689">
        <v>60</v>
      </c>
    </row>
    <row r="1690" spans="1:7" x14ac:dyDescent="0.2">
      <c r="A1690">
        <f t="shared" si="27"/>
        <v>141</v>
      </c>
      <c r="B1690" t="s">
        <v>5</v>
      </c>
      <c r="C1690">
        <f>IF(data!$B1690&lt;&gt;data!$B1689,1,C1689+1)</f>
        <v>9</v>
      </c>
      <c r="D1690">
        <v>8.0457574905606748</v>
      </c>
      <c r="E1690" t="s">
        <v>7</v>
      </c>
      <c r="F1690" t="s">
        <v>12</v>
      </c>
      <c r="G1690">
        <v>60</v>
      </c>
    </row>
    <row r="1691" spans="1:7" x14ac:dyDescent="0.2">
      <c r="A1691">
        <f t="shared" si="27"/>
        <v>141</v>
      </c>
      <c r="B1691" t="s">
        <v>5</v>
      </c>
      <c r="C1691">
        <f>IF(data!$B1691&lt;&gt;data!$B1690,1,C1690+1)</f>
        <v>10</v>
      </c>
      <c r="D1691">
        <v>7</v>
      </c>
      <c r="E1691" t="s">
        <v>7</v>
      </c>
      <c r="F1691" t="s">
        <v>12</v>
      </c>
      <c r="G1691">
        <v>60</v>
      </c>
    </row>
    <row r="1692" spans="1:7" x14ac:dyDescent="0.2">
      <c r="A1692">
        <f t="shared" si="27"/>
        <v>141</v>
      </c>
      <c r="B1692" t="s">
        <v>5</v>
      </c>
      <c r="C1692">
        <f>IF(data!$B1692&lt;&gt;data!$B1691,1,C1691+1)</f>
        <v>11</v>
      </c>
      <c r="D1692">
        <v>5.9586073148417746</v>
      </c>
      <c r="E1692" t="s">
        <v>7</v>
      </c>
      <c r="F1692" t="s">
        <v>12</v>
      </c>
      <c r="G1692">
        <v>60</v>
      </c>
    </row>
    <row r="1693" spans="1:7" x14ac:dyDescent="0.2">
      <c r="A1693">
        <f t="shared" si="27"/>
        <v>141</v>
      </c>
      <c r="B1693" t="s">
        <v>5</v>
      </c>
      <c r="C1693">
        <f>IF(data!$B1693&lt;&gt;data!$B1692,1,C1692+1)</f>
        <v>12</v>
      </c>
      <c r="D1693">
        <v>4.9208187539523749</v>
      </c>
      <c r="E1693" t="s">
        <v>7</v>
      </c>
      <c r="F1693" t="s">
        <v>12</v>
      </c>
      <c r="G1693">
        <v>60</v>
      </c>
    </row>
    <row r="1694" spans="1:7" x14ac:dyDescent="0.2">
      <c r="A1694">
        <f t="shared" si="27"/>
        <v>142</v>
      </c>
      <c r="B1694" t="s">
        <v>6</v>
      </c>
      <c r="C1694">
        <f>IF(data!$B1694&lt;&gt;data!$B1693,1,C1693+1)</f>
        <v>1</v>
      </c>
      <c r="D1694">
        <v>19</v>
      </c>
      <c r="E1694" t="s">
        <v>7</v>
      </c>
      <c r="F1694" t="s">
        <v>12</v>
      </c>
      <c r="G1694">
        <v>60</v>
      </c>
    </row>
    <row r="1695" spans="1:7" x14ac:dyDescent="0.2">
      <c r="A1695">
        <f t="shared" si="27"/>
        <v>142</v>
      </c>
      <c r="B1695" t="s">
        <v>6</v>
      </c>
      <c r="C1695">
        <f>IF(data!$B1695&lt;&gt;data!$B1694,1,C1694+1)</f>
        <v>2</v>
      </c>
      <c r="D1695">
        <v>17.198970004336019</v>
      </c>
      <c r="E1695" t="s">
        <v>7</v>
      </c>
      <c r="F1695" t="s">
        <v>12</v>
      </c>
      <c r="G1695">
        <v>60</v>
      </c>
    </row>
    <row r="1696" spans="1:7" x14ac:dyDescent="0.2">
      <c r="A1696">
        <f t="shared" si="27"/>
        <v>142</v>
      </c>
      <c r="B1696" t="s">
        <v>6</v>
      </c>
      <c r="C1696">
        <f>IF(data!$B1696&lt;&gt;data!$B1695,1,C1695+1)</f>
        <v>3</v>
      </c>
      <c r="D1696">
        <v>15.522878745280337</v>
      </c>
      <c r="E1696" t="s">
        <v>7</v>
      </c>
      <c r="F1696" t="s">
        <v>12</v>
      </c>
      <c r="G1696">
        <v>60</v>
      </c>
    </row>
    <row r="1697" spans="1:7" x14ac:dyDescent="0.2">
      <c r="A1697">
        <f t="shared" si="27"/>
        <v>142</v>
      </c>
      <c r="B1697" t="s">
        <v>6</v>
      </c>
      <c r="C1697">
        <f>IF(data!$B1697&lt;&gt;data!$B1696,1,C1696+1)</f>
        <v>4</v>
      </c>
      <c r="D1697">
        <v>13.897940008672037</v>
      </c>
      <c r="E1697" t="s">
        <v>7</v>
      </c>
      <c r="F1697" t="s">
        <v>12</v>
      </c>
      <c r="G1697">
        <v>60</v>
      </c>
    </row>
    <row r="1698" spans="1:7" x14ac:dyDescent="0.2">
      <c r="A1698">
        <f t="shared" si="27"/>
        <v>142</v>
      </c>
      <c r="B1698" t="s">
        <v>6</v>
      </c>
      <c r="C1698">
        <f>IF(data!$B1698&lt;&gt;data!$B1697,1,C1697+1)</f>
        <v>5</v>
      </c>
      <c r="D1698">
        <v>12.301029995663981</v>
      </c>
      <c r="E1698" t="s">
        <v>7</v>
      </c>
      <c r="F1698" t="s">
        <v>12</v>
      </c>
      <c r="G1698">
        <v>60</v>
      </c>
    </row>
    <row r="1699" spans="1:7" x14ac:dyDescent="0.2">
      <c r="A1699">
        <f t="shared" ref="A1699:A1729" si="28">IF(B1699=B1698,A1698,A1698+1)</f>
        <v>142</v>
      </c>
      <c r="B1699" t="s">
        <v>6</v>
      </c>
      <c r="C1699">
        <f>IF(data!$B1699&lt;&gt;data!$B1698,1,C1698+1)</f>
        <v>6</v>
      </c>
      <c r="D1699">
        <v>10.721848749616356</v>
      </c>
      <c r="E1699" t="s">
        <v>7</v>
      </c>
      <c r="F1699" t="s">
        <v>12</v>
      </c>
      <c r="G1699">
        <v>60</v>
      </c>
    </row>
    <row r="1700" spans="1:7" x14ac:dyDescent="0.2">
      <c r="A1700">
        <f t="shared" si="28"/>
        <v>142</v>
      </c>
      <c r="B1700" t="s">
        <v>6</v>
      </c>
      <c r="C1700">
        <f>IF(data!$B1700&lt;&gt;data!$B1699,1,C1699+1)</f>
        <v>7</v>
      </c>
      <c r="D1700">
        <v>9.1549019599857431</v>
      </c>
      <c r="E1700" t="s">
        <v>7</v>
      </c>
      <c r="F1700" t="s">
        <v>12</v>
      </c>
      <c r="G1700">
        <v>60</v>
      </c>
    </row>
    <row r="1701" spans="1:7" x14ac:dyDescent="0.2">
      <c r="A1701">
        <f t="shared" si="28"/>
        <v>142</v>
      </c>
      <c r="B1701" t="s">
        <v>6</v>
      </c>
      <c r="C1701">
        <f>IF(data!$B1701&lt;&gt;data!$B1700,1,C1700+1)</f>
        <v>8</v>
      </c>
      <c r="D1701">
        <v>7.5969100130080562</v>
      </c>
      <c r="E1701" t="s">
        <v>7</v>
      </c>
      <c r="F1701" t="s">
        <v>12</v>
      </c>
      <c r="G1701">
        <v>60</v>
      </c>
    </row>
    <row r="1702" spans="1:7" x14ac:dyDescent="0.2">
      <c r="A1702">
        <f t="shared" si="28"/>
        <v>142</v>
      </c>
      <c r="B1702" t="s">
        <v>6</v>
      </c>
      <c r="C1702">
        <f>IF(data!$B1702&lt;&gt;data!$B1701,1,C1701+1)</f>
        <v>9</v>
      </c>
      <c r="D1702">
        <v>6.0457574905606748</v>
      </c>
      <c r="E1702" t="s">
        <v>7</v>
      </c>
      <c r="F1702" t="s">
        <v>12</v>
      </c>
      <c r="G1702">
        <v>60</v>
      </c>
    </row>
    <row r="1703" spans="1:7" x14ac:dyDescent="0.2">
      <c r="A1703">
        <f t="shared" si="28"/>
        <v>142</v>
      </c>
      <c r="B1703" t="s">
        <v>6</v>
      </c>
      <c r="C1703">
        <f>IF(data!$B1703&lt;&gt;data!$B1702,1,C1702+1)</f>
        <v>10</v>
      </c>
      <c r="D1703">
        <v>4.5</v>
      </c>
      <c r="E1703" t="s">
        <v>7</v>
      </c>
      <c r="F1703" t="s">
        <v>12</v>
      </c>
      <c r="G1703">
        <v>60</v>
      </c>
    </row>
    <row r="1704" spans="1:7" x14ac:dyDescent="0.2">
      <c r="A1704">
        <f t="shared" si="28"/>
        <v>142</v>
      </c>
      <c r="B1704" t="s">
        <v>6</v>
      </c>
      <c r="C1704">
        <f>IF(data!$B1704&lt;&gt;data!$B1703,1,C1703+1)</f>
        <v>11</v>
      </c>
      <c r="D1704">
        <v>2.9586073148417746</v>
      </c>
      <c r="E1704" t="s">
        <v>7</v>
      </c>
      <c r="F1704" t="s">
        <v>12</v>
      </c>
      <c r="G1704">
        <v>60</v>
      </c>
    </row>
    <row r="1705" spans="1:7" x14ac:dyDescent="0.2">
      <c r="A1705">
        <f t="shared" si="28"/>
        <v>142</v>
      </c>
      <c r="B1705" t="s">
        <v>6</v>
      </c>
      <c r="C1705">
        <f>IF(data!$B1705&lt;&gt;data!$B1704,1,C1704+1)</f>
        <v>12</v>
      </c>
      <c r="D1705">
        <v>1.4208187539523751</v>
      </c>
      <c r="E1705" t="s">
        <v>7</v>
      </c>
      <c r="F1705" t="s">
        <v>12</v>
      </c>
      <c r="G1705">
        <v>60</v>
      </c>
    </row>
    <row r="1706" spans="1:7" x14ac:dyDescent="0.2">
      <c r="A1706">
        <f t="shared" si="28"/>
        <v>143</v>
      </c>
      <c r="B1706" t="s">
        <v>5</v>
      </c>
      <c r="C1706">
        <f>IF(data!$B1706&lt;&gt;data!$B1705,1,C1705+1)</f>
        <v>1</v>
      </c>
      <c r="D1706">
        <v>18</v>
      </c>
      <c r="E1706" t="s">
        <v>13</v>
      </c>
      <c r="F1706" t="s">
        <v>12</v>
      </c>
      <c r="G1706">
        <v>60</v>
      </c>
    </row>
    <row r="1707" spans="1:7" x14ac:dyDescent="0.2">
      <c r="A1707">
        <f t="shared" si="28"/>
        <v>143</v>
      </c>
      <c r="B1707" t="s">
        <v>5</v>
      </c>
      <c r="C1707">
        <f>IF(data!$B1707&lt;&gt;data!$B1706,1,C1706+1)</f>
        <v>2</v>
      </c>
      <c r="D1707">
        <v>17.198970004336019</v>
      </c>
      <c r="E1707" t="s">
        <v>13</v>
      </c>
      <c r="F1707" t="s">
        <v>12</v>
      </c>
      <c r="G1707">
        <v>60</v>
      </c>
    </row>
    <row r="1708" spans="1:7" x14ac:dyDescent="0.2">
      <c r="A1708">
        <f t="shared" si="28"/>
        <v>143</v>
      </c>
      <c r="B1708" t="s">
        <v>5</v>
      </c>
      <c r="C1708">
        <f>IF(data!$B1708&lt;&gt;data!$B1707,1,C1707+1)</f>
        <v>3</v>
      </c>
      <c r="D1708">
        <v>16.522878745280337</v>
      </c>
      <c r="E1708" t="s">
        <v>13</v>
      </c>
      <c r="F1708" t="s">
        <v>12</v>
      </c>
      <c r="G1708">
        <v>60</v>
      </c>
    </row>
    <row r="1709" spans="1:7" x14ac:dyDescent="0.2">
      <c r="A1709">
        <f t="shared" si="28"/>
        <v>143</v>
      </c>
      <c r="B1709" t="s">
        <v>5</v>
      </c>
      <c r="C1709">
        <f>IF(data!$B1709&lt;&gt;data!$B1708,1,C1708+1)</f>
        <v>4</v>
      </c>
      <c r="D1709">
        <v>15.897940008672037</v>
      </c>
      <c r="E1709" t="s">
        <v>13</v>
      </c>
      <c r="F1709" t="s">
        <v>12</v>
      </c>
      <c r="G1709">
        <v>60</v>
      </c>
    </row>
    <row r="1710" spans="1:7" x14ac:dyDescent="0.2">
      <c r="A1710">
        <f t="shared" si="28"/>
        <v>143</v>
      </c>
      <c r="B1710" t="s">
        <v>5</v>
      </c>
      <c r="C1710">
        <f>IF(data!$B1710&lt;&gt;data!$B1709,1,C1709+1)</f>
        <v>5</v>
      </c>
      <c r="D1710">
        <v>15.301029995663981</v>
      </c>
      <c r="E1710" t="s">
        <v>13</v>
      </c>
      <c r="F1710" t="s">
        <v>12</v>
      </c>
      <c r="G1710">
        <v>60</v>
      </c>
    </row>
    <row r="1711" spans="1:7" x14ac:dyDescent="0.2">
      <c r="A1711">
        <f t="shared" si="28"/>
        <v>143</v>
      </c>
      <c r="B1711" t="s">
        <v>5</v>
      </c>
      <c r="C1711">
        <f>IF(data!$B1711&lt;&gt;data!$B1710,1,C1710+1)</f>
        <v>6</v>
      </c>
      <c r="D1711">
        <v>14.721848749616356</v>
      </c>
      <c r="E1711" t="s">
        <v>13</v>
      </c>
      <c r="F1711" t="s">
        <v>12</v>
      </c>
      <c r="G1711">
        <v>60</v>
      </c>
    </row>
    <row r="1712" spans="1:7" x14ac:dyDescent="0.2">
      <c r="A1712">
        <f t="shared" si="28"/>
        <v>143</v>
      </c>
      <c r="B1712" t="s">
        <v>5</v>
      </c>
      <c r="C1712">
        <f>IF(data!$B1712&lt;&gt;data!$B1711,1,C1711+1)</f>
        <v>7</v>
      </c>
      <c r="D1712">
        <v>14.154901959985743</v>
      </c>
      <c r="E1712" t="s">
        <v>13</v>
      </c>
      <c r="F1712" t="s">
        <v>12</v>
      </c>
      <c r="G1712">
        <v>60</v>
      </c>
    </row>
    <row r="1713" spans="1:7" x14ac:dyDescent="0.2">
      <c r="A1713">
        <f t="shared" si="28"/>
        <v>143</v>
      </c>
      <c r="B1713" t="s">
        <v>5</v>
      </c>
      <c r="C1713">
        <f>IF(data!$B1713&lt;&gt;data!$B1712,1,C1712+1)</f>
        <v>8</v>
      </c>
      <c r="D1713">
        <v>13.596910013008056</v>
      </c>
      <c r="E1713" t="s">
        <v>13</v>
      </c>
      <c r="F1713" t="s">
        <v>12</v>
      </c>
      <c r="G1713">
        <v>60</v>
      </c>
    </row>
    <row r="1714" spans="1:7" x14ac:dyDescent="0.2">
      <c r="A1714">
        <f t="shared" si="28"/>
        <v>143</v>
      </c>
      <c r="B1714" t="s">
        <v>5</v>
      </c>
      <c r="C1714">
        <f>IF(data!$B1714&lt;&gt;data!$B1713,1,C1713+1)</f>
        <v>9</v>
      </c>
      <c r="D1714">
        <v>13.045757490560675</v>
      </c>
      <c r="E1714" t="s">
        <v>13</v>
      </c>
      <c r="F1714" t="s">
        <v>12</v>
      </c>
      <c r="G1714">
        <v>60</v>
      </c>
    </row>
    <row r="1715" spans="1:7" x14ac:dyDescent="0.2">
      <c r="A1715">
        <f t="shared" si="28"/>
        <v>143</v>
      </c>
      <c r="B1715" t="s">
        <v>5</v>
      </c>
      <c r="C1715">
        <f>IF(data!$B1715&lt;&gt;data!$B1714,1,C1714+1)</f>
        <v>10</v>
      </c>
      <c r="D1715">
        <v>12.5</v>
      </c>
      <c r="E1715" t="s">
        <v>13</v>
      </c>
      <c r="F1715" t="s">
        <v>12</v>
      </c>
      <c r="G1715">
        <v>60</v>
      </c>
    </row>
    <row r="1716" spans="1:7" x14ac:dyDescent="0.2">
      <c r="A1716">
        <f t="shared" si="28"/>
        <v>143</v>
      </c>
      <c r="B1716" t="s">
        <v>5</v>
      </c>
      <c r="C1716">
        <f>IF(data!$B1716&lt;&gt;data!$B1715,1,C1715+1)</f>
        <v>11</v>
      </c>
      <c r="D1716">
        <v>11.958607314841775</v>
      </c>
      <c r="E1716" t="s">
        <v>13</v>
      </c>
      <c r="F1716" t="s">
        <v>12</v>
      </c>
      <c r="G1716">
        <v>60</v>
      </c>
    </row>
    <row r="1717" spans="1:7" x14ac:dyDescent="0.2">
      <c r="A1717">
        <f t="shared" si="28"/>
        <v>143</v>
      </c>
      <c r="B1717" t="s">
        <v>5</v>
      </c>
      <c r="C1717">
        <f>IF(data!$B1717&lt;&gt;data!$B1716,1,C1716+1)</f>
        <v>12</v>
      </c>
      <c r="D1717">
        <v>11.420818753952375</v>
      </c>
      <c r="E1717" t="s">
        <v>13</v>
      </c>
      <c r="F1717" t="s">
        <v>12</v>
      </c>
      <c r="G1717">
        <v>60</v>
      </c>
    </row>
    <row r="1718" spans="1:7" x14ac:dyDescent="0.2">
      <c r="A1718">
        <f t="shared" si="28"/>
        <v>144</v>
      </c>
      <c r="B1718" t="s">
        <v>6</v>
      </c>
      <c r="C1718">
        <f>IF(data!$B1718&lt;&gt;data!$B1717,1,C1717+1)</f>
        <v>1</v>
      </c>
      <c r="D1718">
        <v>20</v>
      </c>
      <c r="E1718" t="s">
        <v>13</v>
      </c>
      <c r="F1718" t="s">
        <v>12</v>
      </c>
      <c r="G1718">
        <v>60</v>
      </c>
    </row>
    <row r="1719" spans="1:7" x14ac:dyDescent="0.2">
      <c r="A1719">
        <f t="shared" si="28"/>
        <v>144</v>
      </c>
      <c r="B1719" t="s">
        <v>6</v>
      </c>
      <c r="C1719">
        <f>IF(data!$B1719&lt;&gt;data!$B1718,1,C1718+1)</f>
        <v>2</v>
      </c>
      <c r="D1719">
        <v>18.498970004336019</v>
      </c>
      <c r="E1719" t="s">
        <v>13</v>
      </c>
      <c r="F1719" t="s">
        <v>12</v>
      </c>
      <c r="G1719">
        <v>60</v>
      </c>
    </row>
    <row r="1720" spans="1:7" x14ac:dyDescent="0.2">
      <c r="A1720">
        <f t="shared" si="28"/>
        <v>144</v>
      </c>
      <c r="B1720" t="s">
        <v>6</v>
      </c>
      <c r="C1720">
        <f>IF(data!$B1720&lt;&gt;data!$B1719,1,C1719+1)</f>
        <v>3</v>
      </c>
      <c r="D1720">
        <v>17.122878745280339</v>
      </c>
      <c r="E1720" t="s">
        <v>13</v>
      </c>
      <c r="F1720" t="s">
        <v>12</v>
      </c>
      <c r="G1720">
        <v>60</v>
      </c>
    </row>
    <row r="1721" spans="1:7" x14ac:dyDescent="0.2">
      <c r="A1721">
        <f t="shared" si="28"/>
        <v>144</v>
      </c>
      <c r="B1721" t="s">
        <v>6</v>
      </c>
      <c r="C1721">
        <f>IF(data!$B1721&lt;&gt;data!$B1720,1,C1720+1)</f>
        <v>4</v>
      </c>
      <c r="D1721">
        <v>15.79794000867204</v>
      </c>
      <c r="E1721" t="s">
        <v>13</v>
      </c>
      <c r="F1721" t="s">
        <v>12</v>
      </c>
      <c r="G1721">
        <v>60</v>
      </c>
    </row>
    <row r="1722" spans="1:7" x14ac:dyDescent="0.2">
      <c r="A1722">
        <f t="shared" si="28"/>
        <v>144</v>
      </c>
      <c r="B1722" t="s">
        <v>6</v>
      </c>
      <c r="C1722">
        <f>IF(data!$B1722&lt;&gt;data!$B1721,1,C1721+1)</f>
        <v>5</v>
      </c>
      <c r="D1722">
        <v>14.501029995663984</v>
      </c>
      <c r="E1722" t="s">
        <v>13</v>
      </c>
      <c r="F1722" t="s">
        <v>12</v>
      </c>
      <c r="G1722">
        <v>60</v>
      </c>
    </row>
    <row r="1723" spans="1:7" x14ac:dyDescent="0.2">
      <c r="A1723">
        <f t="shared" si="28"/>
        <v>144</v>
      </c>
      <c r="B1723" t="s">
        <v>6</v>
      </c>
      <c r="C1723">
        <f>IF(data!$B1723&lt;&gt;data!$B1722,1,C1722+1)</f>
        <v>6</v>
      </c>
      <c r="D1723">
        <v>13.22184874961636</v>
      </c>
      <c r="E1723" t="s">
        <v>13</v>
      </c>
      <c r="F1723" t="s">
        <v>12</v>
      </c>
      <c r="G1723">
        <v>60</v>
      </c>
    </row>
    <row r="1724" spans="1:7" x14ac:dyDescent="0.2">
      <c r="A1724">
        <f t="shared" si="28"/>
        <v>144</v>
      </c>
      <c r="B1724" t="s">
        <v>6</v>
      </c>
      <c r="C1724">
        <f>IF(data!$B1724&lt;&gt;data!$B1723,1,C1723+1)</f>
        <v>7</v>
      </c>
      <c r="D1724">
        <v>11.954901959985747</v>
      </c>
      <c r="E1724" t="s">
        <v>13</v>
      </c>
      <c r="F1724" t="s">
        <v>12</v>
      </c>
      <c r="G1724">
        <v>60</v>
      </c>
    </row>
    <row r="1725" spans="1:7" x14ac:dyDescent="0.2">
      <c r="A1725">
        <f t="shared" si="28"/>
        <v>144</v>
      </c>
      <c r="B1725" t="s">
        <v>6</v>
      </c>
      <c r="C1725">
        <f>IF(data!$B1725&lt;&gt;data!$B1724,1,C1724+1)</f>
        <v>8</v>
      </c>
      <c r="D1725">
        <v>10.696910013008061</v>
      </c>
      <c r="E1725" t="s">
        <v>13</v>
      </c>
      <c r="F1725" t="s">
        <v>12</v>
      </c>
      <c r="G1725">
        <v>60</v>
      </c>
    </row>
    <row r="1726" spans="1:7" x14ac:dyDescent="0.2">
      <c r="A1726">
        <f t="shared" si="28"/>
        <v>144</v>
      </c>
      <c r="B1726" t="s">
        <v>6</v>
      </c>
      <c r="C1726">
        <f>IF(data!$B1726&lt;&gt;data!$B1725,1,C1725+1)</f>
        <v>9</v>
      </c>
      <c r="D1726">
        <v>9.4457574905606805</v>
      </c>
      <c r="E1726" t="s">
        <v>13</v>
      </c>
      <c r="F1726" t="s">
        <v>12</v>
      </c>
      <c r="G1726">
        <v>60</v>
      </c>
    </row>
    <row r="1727" spans="1:7" x14ac:dyDescent="0.2">
      <c r="A1727">
        <f t="shared" si="28"/>
        <v>144</v>
      </c>
      <c r="B1727" t="s">
        <v>6</v>
      </c>
      <c r="C1727">
        <f>IF(data!$B1727&lt;&gt;data!$B1726,1,C1726+1)</f>
        <v>10</v>
      </c>
      <c r="D1727">
        <v>8.2000000000000064</v>
      </c>
      <c r="E1727" t="s">
        <v>13</v>
      </c>
      <c r="F1727" t="s">
        <v>12</v>
      </c>
      <c r="G1727">
        <v>60</v>
      </c>
    </row>
    <row r="1728" spans="1:7" x14ac:dyDescent="0.2">
      <c r="A1728">
        <f t="shared" si="28"/>
        <v>144</v>
      </c>
      <c r="B1728" t="s">
        <v>6</v>
      </c>
      <c r="C1728">
        <f>IF(data!$B1728&lt;&gt;data!$B1727,1,C1727+1)</f>
        <v>11</v>
      </c>
      <c r="D1728">
        <v>6.9586073148417817</v>
      </c>
      <c r="E1728" t="s">
        <v>13</v>
      </c>
      <c r="F1728" t="s">
        <v>12</v>
      </c>
      <c r="G1728">
        <v>60</v>
      </c>
    </row>
    <row r="1729" spans="1:7" x14ac:dyDescent="0.2">
      <c r="A1729">
        <f t="shared" si="28"/>
        <v>144</v>
      </c>
      <c r="B1729" t="s">
        <v>6</v>
      </c>
      <c r="C1729">
        <f>IF(data!$B1729&lt;&gt;data!$B1728,1,C1728+1)</f>
        <v>12</v>
      </c>
      <c r="D1729">
        <v>5.7208187539523818</v>
      </c>
      <c r="E1729" t="s">
        <v>13</v>
      </c>
      <c r="F1729" t="s">
        <v>12</v>
      </c>
      <c r="G1729">
        <v>60</v>
      </c>
    </row>
  </sheetData>
  <autoFilter ref="A1:F577" xr:uid="{28F06793-7739-4AC6-8F5C-60C64DCE7C8F}"/>
  <conditionalFormatting sqref="A1:G1">
    <cfRule type="containsText" dxfId="28" priority="22" operator="containsText" text="imput">
      <formula>NOT(ISERROR(SEARCH("imput",A1)))</formula>
    </cfRule>
  </conditionalFormatting>
  <conditionalFormatting sqref="E1 E578:E865 E1730:E1048576">
    <cfRule type="containsText" dxfId="27" priority="21" operator="containsText" text="female">
      <formula>NOT(ISERROR(SEARCH("female",E1)))</formula>
    </cfRule>
  </conditionalFormatting>
  <conditionalFormatting sqref="B1:B865 B1730:B1048576">
    <cfRule type="containsText" dxfId="26" priority="20" operator="containsText" text="schizo">
      <formula>NOT(ISERROR(SEARCH("schizo",B1)))</formula>
    </cfRule>
  </conditionalFormatting>
  <conditionalFormatting sqref="L98:L1048576">
    <cfRule type="containsText" dxfId="25" priority="18" operator="containsText" text="female">
      <formula>NOT(ISERROR(SEARCH("female",L98)))</formula>
    </cfRule>
  </conditionalFormatting>
  <conditionalFormatting sqref="I98:I1048576">
    <cfRule type="containsText" dxfId="24" priority="17" operator="containsText" text="schizo">
      <formula>NOT(ISERROR(SEARCH("schizo",I98)))</formula>
    </cfRule>
  </conditionalFormatting>
  <conditionalFormatting sqref="F1:F865 G1 F1730:F1048576">
    <cfRule type="containsText" dxfId="23" priority="16" operator="containsText" text="yes">
      <formula>NOT(ISERROR(SEARCH("yes",F1)))</formula>
    </cfRule>
  </conditionalFormatting>
  <conditionalFormatting sqref="E2:E97">
    <cfRule type="containsText" dxfId="22" priority="15" operator="containsText" text="female">
      <formula>NOT(ISERROR(SEARCH("female",E2)))</formula>
    </cfRule>
  </conditionalFormatting>
  <conditionalFormatting sqref="E98:E193">
    <cfRule type="containsText" dxfId="21" priority="14" operator="containsText" text="female">
      <formula>NOT(ISERROR(SEARCH("female",E98)))</formula>
    </cfRule>
  </conditionalFormatting>
  <conditionalFormatting sqref="E194:E289">
    <cfRule type="containsText" dxfId="20" priority="13" operator="containsText" text="female">
      <formula>NOT(ISERROR(SEARCH("female",E194)))</formula>
    </cfRule>
  </conditionalFormatting>
  <conditionalFormatting sqref="E290:E385">
    <cfRule type="containsText" dxfId="19" priority="12" operator="containsText" text="female">
      <formula>NOT(ISERROR(SEARCH("female",E290)))</formula>
    </cfRule>
  </conditionalFormatting>
  <conditionalFormatting sqref="E386:E481">
    <cfRule type="containsText" dxfId="18" priority="11" operator="containsText" text="female">
      <formula>NOT(ISERROR(SEARCH("female",E386)))</formula>
    </cfRule>
  </conditionalFormatting>
  <conditionalFormatting sqref="E482:E577">
    <cfRule type="containsText" dxfId="17" priority="10" operator="containsText" text="female">
      <formula>NOT(ISERROR(SEARCH("female",E482)))</formula>
    </cfRule>
  </conditionalFormatting>
  <conditionalFormatting sqref="E1442:E1729">
    <cfRule type="containsText" dxfId="16" priority="9" operator="containsText" text="female">
      <formula>NOT(ISERROR(SEARCH("female",E1442)))</formula>
    </cfRule>
  </conditionalFormatting>
  <conditionalFormatting sqref="B866:B1729">
    <cfRule type="containsText" dxfId="15" priority="8" operator="containsText" text="schizo">
      <formula>NOT(ISERROR(SEARCH("schizo",B866)))</formula>
    </cfRule>
  </conditionalFormatting>
  <conditionalFormatting sqref="F866:F1729">
    <cfRule type="containsText" dxfId="14" priority="7" operator="containsText" text="yes">
      <formula>NOT(ISERROR(SEARCH("yes",F866)))</formula>
    </cfRule>
  </conditionalFormatting>
  <conditionalFormatting sqref="E866:E961">
    <cfRule type="containsText" dxfId="13" priority="6" operator="containsText" text="female">
      <formula>NOT(ISERROR(SEARCH("female",E866)))</formula>
    </cfRule>
  </conditionalFormatting>
  <conditionalFormatting sqref="E962:E1057">
    <cfRule type="containsText" dxfId="12" priority="5" operator="containsText" text="female">
      <formula>NOT(ISERROR(SEARCH("female",E962)))</formula>
    </cfRule>
  </conditionalFormatting>
  <conditionalFormatting sqref="E1058:E1153">
    <cfRule type="containsText" dxfId="11" priority="4" operator="containsText" text="female">
      <formula>NOT(ISERROR(SEARCH("female",E1058)))</formula>
    </cfRule>
  </conditionalFormatting>
  <conditionalFormatting sqref="E1154:E1249">
    <cfRule type="containsText" dxfId="10" priority="3" operator="containsText" text="female">
      <formula>NOT(ISERROR(SEARCH("female",E1154)))</formula>
    </cfRule>
  </conditionalFormatting>
  <conditionalFormatting sqref="E1250:E1345">
    <cfRule type="containsText" dxfId="9" priority="2" operator="containsText" text="female">
      <formula>NOT(ISERROR(SEARCH("female",E1250)))</formula>
    </cfRule>
  </conditionalFormatting>
  <conditionalFormatting sqref="E1346:E1441">
    <cfRule type="containsText" dxfId="8" priority="1" operator="containsText" text="female">
      <formula>NOT(ISERROR(SEARCH("female",E1346)))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66E2F-B19F-47AC-BDBB-E607A43E9E1A}">
  <sheetPr codeName="Sheet3"/>
  <dimension ref="A1:H97"/>
  <sheetViews>
    <sheetView zoomScale="60" zoomScaleNormal="60" workbookViewId="0">
      <selection activeCell="G22" sqref="G22"/>
    </sheetView>
  </sheetViews>
  <sheetFormatPr baseColWidth="10" defaultColWidth="8.83203125" defaultRowHeight="15" x14ac:dyDescent="0.2"/>
  <cols>
    <col min="7" max="7" width="8.6640625" style="2"/>
  </cols>
  <sheetData>
    <row r="1" spans="1:8" ht="16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11</v>
      </c>
    </row>
    <row r="2" spans="1:8" x14ac:dyDescent="0.2">
      <c r="A2">
        <v>1</v>
      </c>
      <c r="B2" t="s">
        <v>5</v>
      </c>
      <c r="C2">
        <f>IF(data!$B2&lt;&gt;data!$B1,1,C1+1)</f>
        <v>1</v>
      </c>
      <c r="D2">
        <v>24</v>
      </c>
      <c r="E2" t="s">
        <v>7</v>
      </c>
      <c r="F2" t="s">
        <v>14</v>
      </c>
      <c r="H2" t="s">
        <v>8</v>
      </c>
    </row>
    <row r="3" spans="1:8" x14ac:dyDescent="0.2">
      <c r="A3">
        <f t="shared" ref="A3:A34" si="0">IF(B3=B2,A2,A2+1)</f>
        <v>1</v>
      </c>
      <c r="B3" t="s">
        <v>5</v>
      </c>
      <c r="C3">
        <f>IF(data!$B3&lt;&gt;data!$B2,1,C2+1)</f>
        <v>2</v>
      </c>
      <c r="D3">
        <f t="shared" ref="D3:D13" si="1">D2-1</f>
        <v>23</v>
      </c>
      <c r="E3" t="s">
        <v>7</v>
      </c>
      <c r="F3" t="s">
        <v>14</v>
      </c>
      <c r="H3" t="s">
        <v>9</v>
      </c>
    </row>
    <row r="4" spans="1:8" x14ac:dyDescent="0.2">
      <c r="A4">
        <f t="shared" si="0"/>
        <v>1</v>
      </c>
      <c r="B4" t="s">
        <v>5</v>
      </c>
      <c r="C4">
        <f>IF(data!$B4&lt;&gt;data!$B3,1,C3+1)</f>
        <v>3</v>
      </c>
      <c r="D4">
        <f t="shared" si="1"/>
        <v>22</v>
      </c>
      <c r="E4" t="s">
        <v>7</v>
      </c>
      <c r="F4" t="s">
        <v>14</v>
      </c>
      <c r="H4" t="s">
        <v>10</v>
      </c>
    </row>
    <row r="5" spans="1:8" x14ac:dyDescent="0.2">
      <c r="A5">
        <f t="shared" si="0"/>
        <v>1</v>
      </c>
      <c r="B5" t="s">
        <v>5</v>
      </c>
      <c r="C5">
        <f>IF(data!$B5&lt;&gt;data!$B4,1,C4+1)</f>
        <v>4</v>
      </c>
      <c r="D5">
        <f t="shared" si="1"/>
        <v>21</v>
      </c>
      <c r="E5" t="s">
        <v>7</v>
      </c>
      <c r="F5" t="s">
        <v>14</v>
      </c>
    </row>
    <row r="6" spans="1:8" x14ac:dyDescent="0.2">
      <c r="A6">
        <f t="shared" si="0"/>
        <v>1</v>
      </c>
      <c r="B6" t="s">
        <v>5</v>
      </c>
      <c r="C6">
        <f>IF(data!$B6&lt;&gt;data!$B5,1,C5+1)</f>
        <v>5</v>
      </c>
      <c r="D6">
        <f t="shared" si="1"/>
        <v>20</v>
      </c>
      <c r="E6" t="s">
        <v>7</v>
      </c>
      <c r="F6" t="s">
        <v>14</v>
      </c>
    </row>
    <row r="7" spans="1:8" x14ac:dyDescent="0.2">
      <c r="A7">
        <f t="shared" si="0"/>
        <v>1</v>
      </c>
      <c r="B7" t="s">
        <v>5</v>
      </c>
      <c r="C7">
        <f>IF(data!$B7&lt;&gt;data!$B6,1,C6+1)</f>
        <v>6</v>
      </c>
      <c r="D7">
        <f t="shared" si="1"/>
        <v>19</v>
      </c>
      <c r="E7" t="s">
        <v>7</v>
      </c>
      <c r="F7" t="s">
        <v>14</v>
      </c>
    </row>
    <row r="8" spans="1:8" x14ac:dyDescent="0.2">
      <c r="A8">
        <f t="shared" si="0"/>
        <v>1</v>
      </c>
      <c r="B8" t="s">
        <v>5</v>
      </c>
      <c r="C8">
        <f>IF(data!$B8&lt;&gt;data!$B7,1,C7+1)</f>
        <v>7</v>
      </c>
      <c r="D8">
        <f t="shared" si="1"/>
        <v>18</v>
      </c>
      <c r="E8" t="s">
        <v>7</v>
      </c>
      <c r="F8" t="s">
        <v>14</v>
      </c>
    </row>
    <row r="9" spans="1:8" x14ac:dyDescent="0.2">
      <c r="A9">
        <f t="shared" si="0"/>
        <v>1</v>
      </c>
      <c r="B9" t="s">
        <v>5</v>
      </c>
      <c r="C9">
        <f>IF(data!$B9&lt;&gt;data!$B8,1,C8+1)</f>
        <v>8</v>
      </c>
      <c r="D9">
        <f t="shared" si="1"/>
        <v>17</v>
      </c>
      <c r="E9" t="s">
        <v>7</v>
      </c>
      <c r="F9" t="s">
        <v>14</v>
      </c>
    </row>
    <row r="10" spans="1:8" x14ac:dyDescent="0.2">
      <c r="A10">
        <f t="shared" si="0"/>
        <v>1</v>
      </c>
      <c r="B10" t="s">
        <v>5</v>
      </c>
      <c r="C10">
        <f>IF(data!$B10&lt;&gt;data!$B9,1,C9+1)</f>
        <v>9</v>
      </c>
      <c r="D10">
        <f t="shared" si="1"/>
        <v>16</v>
      </c>
      <c r="E10" t="s">
        <v>7</v>
      </c>
      <c r="F10" t="s">
        <v>14</v>
      </c>
    </row>
    <row r="11" spans="1:8" x14ac:dyDescent="0.2">
      <c r="A11">
        <f t="shared" si="0"/>
        <v>1</v>
      </c>
      <c r="B11" t="s">
        <v>5</v>
      </c>
      <c r="C11">
        <f>IF(data!$B11&lt;&gt;data!$B10,1,C10+1)</f>
        <v>10</v>
      </c>
      <c r="D11">
        <f t="shared" si="1"/>
        <v>15</v>
      </c>
      <c r="E11" t="s">
        <v>7</v>
      </c>
      <c r="F11" t="s">
        <v>14</v>
      </c>
    </row>
    <row r="12" spans="1:8" x14ac:dyDescent="0.2">
      <c r="A12">
        <f t="shared" si="0"/>
        <v>1</v>
      </c>
      <c r="B12" t="s">
        <v>5</v>
      </c>
      <c r="C12">
        <f>IF(data!$B12&lt;&gt;data!$B11,1,C11+1)</f>
        <v>11</v>
      </c>
      <c r="D12">
        <f t="shared" si="1"/>
        <v>14</v>
      </c>
      <c r="E12" t="s">
        <v>7</v>
      </c>
      <c r="F12" t="s">
        <v>14</v>
      </c>
    </row>
    <row r="13" spans="1:8" x14ac:dyDescent="0.2">
      <c r="A13">
        <f t="shared" si="0"/>
        <v>1</v>
      </c>
      <c r="B13" t="s">
        <v>5</v>
      </c>
      <c r="C13">
        <f>IF(data!$B13&lt;&gt;data!$B12,1,C12+1)</f>
        <v>12</v>
      </c>
      <c r="D13">
        <f t="shared" si="1"/>
        <v>13</v>
      </c>
      <c r="E13" t="s">
        <v>7</v>
      </c>
      <c r="F13" t="s">
        <v>14</v>
      </c>
    </row>
    <row r="14" spans="1:8" x14ac:dyDescent="0.2">
      <c r="A14">
        <f t="shared" si="0"/>
        <v>2</v>
      </c>
      <c r="B14" t="s">
        <v>6</v>
      </c>
      <c r="C14">
        <f>IF(data!$B14&lt;&gt;data!$B13,1,C13+1)</f>
        <v>1</v>
      </c>
      <c r="D14">
        <f>D2+2</f>
        <v>26</v>
      </c>
      <c r="E14" t="s">
        <v>7</v>
      </c>
      <c r="F14" t="s">
        <v>14</v>
      </c>
    </row>
    <row r="15" spans="1:8" x14ac:dyDescent="0.2">
      <c r="A15">
        <f t="shared" si="0"/>
        <v>2</v>
      </c>
      <c r="B15" t="s">
        <v>6</v>
      </c>
      <c r="C15">
        <f>IF(data!$B15&lt;&gt;data!$B14,1,C14+1)</f>
        <v>2</v>
      </c>
      <c r="D15">
        <f t="shared" ref="D15:D25" si="2">D14-1.5</f>
        <v>24.5</v>
      </c>
      <c r="E15" t="s">
        <v>7</v>
      </c>
      <c r="F15" t="s">
        <v>14</v>
      </c>
    </row>
    <row r="16" spans="1:8" x14ac:dyDescent="0.2">
      <c r="A16">
        <f t="shared" si="0"/>
        <v>2</v>
      </c>
      <c r="B16" t="s">
        <v>6</v>
      </c>
      <c r="C16">
        <f>IF(data!$B16&lt;&gt;data!$B15,1,C15+1)</f>
        <v>3</v>
      </c>
      <c r="D16">
        <f t="shared" si="2"/>
        <v>23</v>
      </c>
      <c r="E16" t="s">
        <v>7</v>
      </c>
      <c r="F16" t="s">
        <v>14</v>
      </c>
    </row>
    <row r="17" spans="1:6" x14ac:dyDescent="0.2">
      <c r="A17">
        <f t="shared" si="0"/>
        <v>2</v>
      </c>
      <c r="B17" t="s">
        <v>6</v>
      </c>
      <c r="C17">
        <f>IF(data!$B17&lt;&gt;data!$B16,1,C16+1)</f>
        <v>4</v>
      </c>
      <c r="D17">
        <f t="shared" si="2"/>
        <v>21.5</v>
      </c>
      <c r="E17" t="s">
        <v>7</v>
      </c>
      <c r="F17" t="s">
        <v>14</v>
      </c>
    </row>
    <row r="18" spans="1:6" x14ac:dyDescent="0.2">
      <c r="A18">
        <f t="shared" si="0"/>
        <v>2</v>
      </c>
      <c r="B18" t="s">
        <v>6</v>
      </c>
      <c r="C18">
        <f>IF(data!$B18&lt;&gt;data!$B17,1,C17+1)</f>
        <v>5</v>
      </c>
      <c r="D18">
        <f t="shared" si="2"/>
        <v>20</v>
      </c>
      <c r="E18" t="s">
        <v>7</v>
      </c>
      <c r="F18" t="s">
        <v>14</v>
      </c>
    </row>
    <row r="19" spans="1:6" x14ac:dyDescent="0.2">
      <c r="A19">
        <f t="shared" si="0"/>
        <v>2</v>
      </c>
      <c r="B19" t="s">
        <v>6</v>
      </c>
      <c r="C19">
        <f>IF(data!$B19&lt;&gt;data!$B18,1,C18+1)</f>
        <v>6</v>
      </c>
      <c r="D19">
        <f t="shared" si="2"/>
        <v>18.5</v>
      </c>
      <c r="E19" t="s">
        <v>7</v>
      </c>
      <c r="F19" t="s">
        <v>14</v>
      </c>
    </row>
    <row r="20" spans="1:6" x14ac:dyDescent="0.2">
      <c r="A20">
        <f t="shared" si="0"/>
        <v>2</v>
      </c>
      <c r="B20" t="s">
        <v>6</v>
      </c>
      <c r="C20">
        <f>IF(data!$B20&lt;&gt;data!$B19,1,C19+1)</f>
        <v>7</v>
      </c>
      <c r="D20">
        <f t="shared" si="2"/>
        <v>17</v>
      </c>
      <c r="E20" t="s">
        <v>7</v>
      </c>
      <c r="F20" t="s">
        <v>14</v>
      </c>
    </row>
    <row r="21" spans="1:6" x14ac:dyDescent="0.2">
      <c r="A21">
        <f t="shared" si="0"/>
        <v>2</v>
      </c>
      <c r="B21" t="s">
        <v>6</v>
      </c>
      <c r="C21">
        <f>IF(data!$B21&lt;&gt;data!$B20,1,C20+1)</f>
        <v>8</v>
      </c>
      <c r="D21">
        <f t="shared" si="2"/>
        <v>15.5</v>
      </c>
      <c r="E21" t="s">
        <v>7</v>
      </c>
      <c r="F21" t="s">
        <v>14</v>
      </c>
    </row>
    <row r="22" spans="1:6" x14ac:dyDescent="0.2">
      <c r="A22">
        <f t="shared" si="0"/>
        <v>2</v>
      </c>
      <c r="B22" t="s">
        <v>6</v>
      </c>
      <c r="C22">
        <f>IF(data!$B22&lt;&gt;data!$B21,1,C21+1)</f>
        <v>9</v>
      </c>
      <c r="D22">
        <f t="shared" si="2"/>
        <v>14</v>
      </c>
      <c r="E22" t="s">
        <v>7</v>
      </c>
      <c r="F22" t="s">
        <v>14</v>
      </c>
    </row>
    <row r="23" spans="1:6" x14ac:dyDescent="0.2">
      <c r="A23">
        <f t="shared" si="0"/>
        <v>2</v>
      </c>
      <c r="B23" t="s">
        <v>6</v>
      </c>
      <c r="C23">
        <f>IF(data!$B23&lt;&gt;data!$B22,1,C22+1)</f>
        <v>10</v>
      </c>
      <c r="D23">
        <f t="shared" si="2"/>
        <v>12.5</v>
      </c>
      <c r="E23" t="s">
        <v>7</v>
      </c>
      <c r="F23" t="s">
        <v>14</v>
      </c>
    </row>
    <row r="24" spans="1:6" x14ac:dyDescent="0.2">
      <c r="A24">
        <f t="shared" si="0"/>
        <v>2</v>
      </c>
      <c r="B24" t="s">
        <v>6</v>
      </c>
      <c r="C24">
        <f>IF(data!$B24&lt;&gt;data!$B23,1,C23+1)</f>
        <v>11</v>
      </c>
      <c r="D24">
        <f t="shared" si="2"/>
        <v>11</v>
      </c>
      <c r="E24" t="s">
        <v>7</v>
      </c>
      <c r="F24" t="s">
        <v>14</v>
      </c>
    </row>
    <row r="25" spans="1:6" x14ac:dyDescent="0.2">
      <c r="A25">
        <f t="shared" si="0"/>
        <v>2</v>
      </c>
      <c r="B25" t="s">
        <v>6</v>
      </c>
      <c r="C25">
        <f>IF(data!$B25&lt;&gt;data!$B24,1,C24+1)</f>
        <v>12</v>
      </c>
      <c r="D25">
        <f t="shared" si="2"/>
        <v>9.5</v>
      </c>
      <c r="E25" t="s">
        <v>7</v>
      </c>
      <c r="F25" t="s">
        <v>14</v>
      </c>
    </row>
    <row r="26" spans="1:6" x14ac:dyDescent="0.2">
      <c r="A26">
        <f t="shared" si="0"/>
        <v>3</v>
      </c>
      <c r="B26" t="str">
        <f t="shared" ref="B26:B49" si="3">B2</f>
        <v>schizo</v>
      </c>
      <c r="C26">
        <f>IF(data!$B26&lt;&gt;data!$B25,1,C25+1)</f>
        <v>1</v>
      </c>
      <c r="D26">
        <f>D2+1</f>
        <v>25</v>
      </c>
      <c r="E26" t="s">
        <v>13</v>
      </c>
      <c r="F26" t="s">
        <v>14</v>
      </c>
    </row>
    <row r="27" spans="1:6" x14ac:dyDescent="0.2">
      <c r="A27">
        <f t="shared" si="0"/>
        <v>3</v>
      </c>
      <c r="B27" t="str">
        <f t="shared" si="3"/>
        <v>schizo</v>
      </c>
      <c r="C27">
        <f>IF(data!$B27&lt;&gt;data!$B26,1,C26+1)</f>
        <v>2</v>
      </c>
      <c r="D27">
        <f t="shared" ref="D27:D37" si="4">D26-0.5</f>
        <v>24.5</v>
      </c>
      <c r="E27" t="s">
        <v>13</v>
      </c>
      <c r="F27" t="s">
        <v>14</v>
      </c>
    </row>
    <row r="28" spans="1:6" x14ac:dyDescent="0.2">
      <c r="A28">
        <f t="shared" si="0"/>
        <v>3</v>
      </c>
      <c r="B28" t="str">
        <f t="shared" si="3"/>
        <v>schizo</v>
      </c>
      <c r="C28">
        <f>IF(data!$B28&lt;&gt;data!$B27,1,C27+1)</f>
        <v>3</v>
      </c>
      <c r="D28">
        <f t="shared" si="4"/>
        <v>24</v>
      </c>
      <c r="E28" t="s">
        <v>13</v>
      </c>
      <c r="F28" t="s">
        <v>14</v>
      </c>
    </row>
    <row r="29" spans="1:6" x14ac:dyDescent="0.2">
      <c r="A29">
        <f t="shared" si="0"/>
        <v>3</v>
      </c>
      <c r="B29" t="str">
        <f t="shared" si="3"/>
        <v>schizo</v>
      </c>
      <c r="C29">
        <f>IF(data!$B29&lt;&gt;data!$B28,1,C28+1)</f>
        <v>4</v>
      </c>
      <c r="D29">
        <f t="shared" si="4"/>
        <v>23.5</v>
      </c>
      <c r="E29" t="s">
        <v>13</v>
      </c>
      <c r="F29" t="s">
        <v>14</v>
      </c>
    </row>
    <row r="30" spans="1:6" x14ac:dyDescent="0.2">
      <c r="A30">
        <f t="shared" si="0"/>
        <v>3</v>
      </c>
      <c r="B30" t="str">
        <f t="shared" si="3"/>
        <v>schizo</v>
      </c>
      <c r="C30">
        <f>IF(data!$B30&lt;&gt;data!$B29,1,C29+1)</f>
        <v>5</v>
      </c>
      <c r="D30">
        <f t="shared" si="4"/>
        <v>23</v>
      </c>
      <c r="E30" t="s">
        <v>13</v>
      </c>
      <c r="F30" t="s">
        <v>14</v>
      </c>
    </row>
    <row r="31" spans="1:6" x14ac:dyDescent="0.2">
      <c r="A31">
        <f t="shared" si="0"/>
        <v>3</v>
      </c>
      <c r="B31" t="str">
        <f t="shared" si="3"/>
        <v>schizo</v>
      </c>
      <c r="C31">
        <f>IF(data!$B31&lt;&gt;data!$B30,1,C30+1)</f>
        <v>6</v>
      </c>
      <c r="D31">
        <f t="shared" si="4"/>
        <v>22.5</v>
      </c>
      <c r="E31" t="s">
        <v>13</v>
      </c>
      <c r="F31" t="s">
        <v>14</v>
      </c>
    </row>
    <row r="32" spans="1:6" x14ac:dyDescent="0.2">
      <c r="A32">
        <f t="shared" si="0"/>
        <v>3</v>
      </c>
      <c r="B32" t="str">
        <f t="shared" si="3"/>
        <v>schizo</v>
      </c>
      <c r="C32">
        <f>IF(data!$B32&lt;&gt;data!$B31,1,C31+1)</f>
        <v>7</v>
      </c>
      <c r="D32">
        <f t="shared" si="4"/>
        <v>22</v>
      </c>
      <c r="E32" t="s">
        <v>13</v>
      </c>
      <c r="F32" t="s">
        <v>14</v>
      </c>
    </row>
    <row r="33" spans="1:6" x14ac:dyDescent="0.2">
      <c r="A33">
        <f t="shared" si="0"/>
        <v>3</v>
      </c>
      <c r="B33" t="str">
        <f t="shared" si="3"/>
        <v>schizo</v>
      </c>
      <c r="C33">
        <f>IF(data!$B33&lt;&gt;data!$B32,1,C32+1)</f>
        <v>8</v>
      </c>
      <c r="D33">
        <f t="shared" si="4"/>
        <v>21.5</v>
      </c>
      <c r="E33" t="s">
        <v>13</v>
      </c>
      <c r="F33" t="s">
        <v>14</v>
      </c>
    </row>
    <row r="34" spans="1:6" x14ac:dyDescent="0.2">
      <c r="A34">
        <f t="shared" si="0"/>
        <v>3</v>
      </c>
      <c r="B34" t="str">
        <f t="shared" si="3"/>
        <v>schizo</v>
      </c>
      <c r="C34">
        <f>IF(data!$B34&lt;&gt;data!$B33,1,C33+1)</f>
        <v>9</v>
      </c>
      <c r="D34">
        <f t="shared" si="4"/>
        <v>21</v>
      </c>
      <c r="E34" t="s">
        <v>13</v>
      </c>
      <c r="F34" t="s">
        <v>14</v>
      </c>
    </row>
    <row r="35" spans="1:6" x14ac:dyDescent="0.2">
      <c r="A35">
        <f t="shared" ref="A35:A66" si="5">IF(B35=B34,A34,A34+1)</f>
        <v>3</v>
      </c>
      <c r="B35" t="str">
        <f t="shared" si="3"/>
        <v>schizo</v>
      </c>
      <c r="C35">
        <f>IF(data!$B35&lt;&gt;data!$B34,1,C34+1)</f>
        <v>10</v>
      </c>
      <c r="D35">
        <f t="shared" si="4"/>
        <v>20.5</v>
      </c>
      <c r="E35" t="s">
        <v>13</v>
      </c>
      <c r="F35" t="s">
        <v>14</v>
      </c>
    </row>
    <row r="36" spans="1:6" x14ac:dyDescent="0.2">
      <c r="A36">
        <f t="shared" si="5"/>
        <v>3</v>
      </c>
      <c r="B36" t="str">
        <f t="shared" si="3"/>
        <v>schizo</v>
      </c>
      <c r="C36">
        <f>IF(data!$B36&lt;&gt;data!$B35,1,C35+1)</f>
        <v>11</v>
      </c>
      <c r="D36">
        <f t="shared" si="4"/>
        <v>20</v>
      </c>
      <c r="E36" t="s">
        <v>13</v>
      </c>
      <c r="F36" t="s">
        <v>14</v>
      </c>
    </row>
    <row r="37" spans="1:6" x14ac:dyDescent="0.2">
      <c r="A37">
        <f t="shared" si="5"/>
        <v>3</v>
      </c>
      <c r="B37" t="str">
        <f t="shared" si="3"/>
        <v>schizo</v>
      </c>
      <c r="C37">
        <f>IF(data!$B37&lt;&gt;data!$B36,1,C36+1)</f>
        <v>12</v>
      </c>
      <c r="D37">
        <f t="shared" si="4"/>
        <v>19.5</v>
      </c>
      <c r="E37" t="s">
        <v>13</v>
      </c>
      <c r="F37" t="s">
        <v>14</v>
      </c>
    </row>
    <row r="38" spans="1:6" x14ac:dyDescent="0.2">
      <c r="A38">
        <f t="shared" si="5"/>
        <v>4</v>
      </c>
      <c r="B38" t="str">
        <f t="shared" si="3"/>
        <v>dementia</v>
      </c>
      <c r="C38">
        <f>IF(data!$B38&lt;&gt;data!$B37,1,C37+1)</f>
        <v>1</v>
      </c>
      <c r="D38">
        <f>D14+1</f>
        <v>27</v>
      </c>
      <c r="E38" t="s">
        <v>13</v>
      </c>
      <c r="F38" t="s">
        <v>14</v>
      </c>
    </row>
    <row r="39" spans="1:6" x14ac:dyDescent="0.2">
      <c r="A39">
        <f t="shared" si="5"/>
        <v>4</v>
      </c>
      <c r="B39" t="str">
        <f t="shared" si="3"/>
        <v>dementia</v>
      </c>
      <c r="C39">
        <f>IF(data!$B39&lt;&gt;data!$B38,1,C38+1)</f>
        <v>2</v>
      </c>
      <c r="D39">
        <f t="shared" ref="D39:D49" si="6">D38-1.2</f>
        <v>25.8</v>
      </c>
      <c r="E39" t="s">
        <v>13</v>
      </c>
      <c r="F39" t="s">
        <v>14</v>
      </c>
    </row>
    <row r="40" spans="1:6" x14ac:dyDescent="0.2">
      <c r="A40">
        <f t="shared" si="5"/>
        <v>4</v>
      </c>
      <c r="B40" t="str">
        <f t="shared" si="3"/>
        <v>dementia</v>
      </c>
      <c r="C40">
        <f>IF(data!$B40&lt;&gt;data!$B39,1,C39+1)</f>
        <v>3</v>
      </c>
      <c r="D40">
        <f t="shared" si="6"/>
        <v>24.6</v>
      </c>
      <c r="E40" t="s">
        <v>13</v>
      </c>
      <c r="F40" t="s">
        <v>14</v>
      </c>
    </row>
    <row r="41" spans="1:6" x14ac:dyDescent="0.2">
      <c r="A41">
        <f t="shared" si="5"/>
        <v>4</v>
      </c>
      <c r="B41" t="str">
        <f t="shared" si="3"/>
        <v>dementia</v>
      </c>
      <c r="C41">
        <f>IF(data!$B41&lt;&gt;data!$B40,1,C40+1)</f>
        <v>4</v>
      </c>
      <c r="D41">
        <f t="shared" si="6"/>
        <v>23.400000000000002</v>
      </c>
      <c r="E41" t="s">
        <v>13</v>
      </c>
      <c r="F41" t="s">
        <v>14</v>
      </c>
    </row>
    <row r="42" spans="1:6" x14ac:dyDescent="0.2">
      <c r="A42">
        <f t="shared" si="5"/>
        <v>4</v>
      </c>
      <c r="B42" t="str">
        <f t="shared" si="3"/>
        <v>dementia</v>
      </c>
      <c r="C42">
        <f>IF(data!$B42&lt;&gt;data!$B41,1,C41+1)</f>
        <v>5</v>
      </c>
      <c r="D42">
        <f t="shared" si="6"/>
        <v>22.200000000000003</v>
      </c>
      <c r="E42" t="s">
        <v>13</v>
      </c>
      <c r="F42" t="s">
        <v>14</v>
      </c>
    </row>
    <row r="43" spans="1:6" x14ac:dyDescent="0.2">
      <c r="A43">
        <f t="shared" si="5"/>
        <v>4</v>
      </c>
      <c r="B43" t="str">
        <f t="shared" si="3"/>
        <v>dementia</v>
      </c>
      <c r="C43">
        <f>IF(data!$B43&lt;&gt;data!$B42,1,C42+1)</f>
        <v>6</v>
      </c>
      <c r="D43">
        <f t="shared" si="6"/>
        <v>21.000000000000004</v>
      </c>
      <c r="E43" t="s">
        <v>13</v>
      </c>
      <c r="F43" t="s">
        <v>14</v>
      </c>
    </row>
    <row r="44" spans="1:6" x14ac:dyDescent="0.2">
      <c r="A44">
        <f t="shared" si="5"/>
        <v>4</v>
      </c>
      <c r="B44" t="str">
        <f t="shared" si="3"/>
        <v>dementia</v>
      </c>
      <c r="C44">
        <f>IF(data!$B44&lt;&gt;data!$B43,1,C43+1)</f>
        <v>7</v>
      </c>
      <c r="D44">
        <f t="shared" si="6"/>
        <v>19.800000000000004</v>
      </c>
      <c r="E44" t="s">
        <v>13</v>
      </c>
      <c r="F44" t="s">
        <v>14</v>
      </c>
    </row>
    <row r="45" spans="1:6" x14ac:dyDescent="0.2">
      <c r="A45">
        <f t="shared" si="5"/>
        <v>4</v>
      </c>
      <c r="B45" t="str">
        <f t="shared" si="3"/>
        <v>dementia</v>
      </c>
      <c r="C45">
        <f>IF(data!$B45&lt;&gt;data!$B44,1,C44+1)</f>
        <v>8</v>
      </c>
      <c r="D45">
        <f t="shared" si="6"/>
        <v>18.600000000000005</v>
      </c>
      <c r="E45" t="s">
        <v>13</v>
      </c>
      <c r="F45" t="s">
        <v>14</v>
      </c>
    </row>
    <row r="46" spans="1:6" x14ac:dyDescent="0.2">
      <c r="A46">
        <f t="shared" si="5"/>
        <v>4</v>
      </c>
      <c r="B46" t="str">
        <f t="shared" si="3"/>
        <v>dementia</v>
      </c>
      <c r="C46">
        <f>IF(data!$B46&lt;&gt;data!$B45,1,C45+1)</f>
        <v>9</v>
      </c>
      <c r="D46">
        <f t="shared" si="6"/>
        <v>17.400000000000006</v>
      </c>
      <c r="E46" t="s">
        <v>13</v>
      </c>
      <c r="F46" t="s">
        <v>14</v>
      </c>
    </row>
    <row r="47" spans="1:6" x14ac:dyDescent="0.2">
      <c r="A47">
        <f t="shared" si="5"/>
        <v>4</v>
      </c>
      <c r="B47" t="str">
        <f t="shared" si="3"/>
        <v>dementia</v>
      </c>
      <c r="C47">
        <f>IF(data!$B47&lt;&gt;data!$B46,1,C46+1)</f>
        <v>10</v>
      </c>
      <c r="D47">
        <f t="shared" si="6"/>
        <v>16.200000000000006</v>
      </c>
      <c r="E47" t="s">
        <v>13</v>
      </c>
      <c r="F47" t="s">
        <v>14</v>
      </c>
    </row>
    <row r="48" spans="1:6" x14ac:dyDescent="0.2">
      <c r="A48">
        <f t="shared" si="5"/>
        <v>4</v>
      </c>
      <c r="B48" t="str">
        <f t="shared" si="3"/>
        <v>dementia</v>
      </c>
      <c r="C48">
        <f>IF(data!$B48&lt;&gt;data!$B47,1,C47+1)</f>
        <v>11</v>
      </c>
      <c r="D48">
        <f t="shared" si="6"/>
        <v>15.000000000000007</v>
      </c>
      <c r="E48" t="s">
        <v>13</v>
      </c>
      <c r="F48" t="s">
        <v>14</v>
      </c>
    </row>
    <row r="49" spans="1:6" x14ac:dyDescent="0.2">
      <c r="A49">
        <f t="shared" si="5"/>
        <v>4</v>
      </c>
      <c r="B49" t="str">
        <f t="shared" si="3"/>
        <v>dementia</v>
      </c>
      <c r="C49">
        <f>IF(data!$B49&lt;&gt;data!$B48,1,C48+1)</f>
        <v>12</v>
      </c>
      <c r="D49">
        <f t="shared" si="6"/>
        <v>13.800000000000008</v>
      </c>
      <c r="E49" t="s">
        <v>13</v>
      </c>
      <c r="F49" t="s">
        <v>14</v>
      </c>
    </row>
    <row r="50" spans="1:6" x14ac:dyDescent="0.2">
      <c r="A50">
        <f t="shared" si="5"/>
        <v>5</v>
      </c>
      <c r="B50" t="str">
        <f t="shared" ref="B50:B97" si="7">B2</f>
        <v>schizo</v>
      </c>
      <c r="C50">
        <f>IF(data!$B50&lt;&gt;data!$B49,1,C49+1)</f>
        <v>1</v>
      </c>
      <c r="D50" s="3">
        <f>IF(C2=1,D2,D2-LOG(C50))</f>
        <v>24</v>
      </c>
      <c r="E50" t="str">
        <f>E2</f>
        <v>male</v>
      </c>
      <c r="F50" t="s">
        <v>12</v>
      </c>
    </row>
    <row r="51" spans="1:6" x14ac:dyDescent="0.2">
      <c r="A51">
        <f t="shared" si="5"/>
        <v>5</v>
      </c>
      <c r="B51" t="str">
        <f t="shared" si="7"/>
        <v>schizo</v>
      </c>
      <c r="C51">
        <f>IF(data!$B51&lt;&gt;data!$B50,1,C50+1)</f>
        <v>2</v>
      </c>
      <c r="D51" s="3">
        <f t="shared" ref="D51:D97" si="8">IF(C3=1,D3,D3-LOG(C51))</f>
        <v>22.698970004336019</v>
      </c>
      <c r="E51" t="str">
        <f t="shared" ref="E51:E97" si="9">E3</f>
        <v>male</v>
      </c>
      <c r="F51" t="s">
        <v>12</v>
      </c>
    </row>
    <row r="52" spans="1:6" x14ac:dyDescent="0.2">
      <c r="A52">
        <f t="shared" si="5"/>
        <v>5</v>
      </c>
      <c r="B52" t="str">
        <f t="shared" si="7"/>
        <v>schizo</v>
      </c>
      <c r="C52">
        <f>IF(data!$B52&lt;&gt;data!$B51,1,C51+1)</f>
        <v>3</v>
      </c>
      <c r="D52" s="3">
        <f t="shared" si="8"/>
        <v>21.522878745280337</v>
      </c>
      <c r="E52" t="str">
        <f t="shared" si="9"/>
        <v>male</v>
      </c>
      <c r="F52" t="s">
        <v>12</v>
      </c>
    </row>
    <row r="53" spans="1:6" x14ac:dyDescent="0.2">
      <c r="A53">
        <f t="shared" si="5"/>
        <v>5</v>
      </c>
      <c r="B53" t="str">
        <f t="shared" si="7"/>
        <v>schizo</v>
      </c>
      <c r="C53">
        <f>IF(data!$B53&lt;&gt;data!$B52,1,C52+1)</f>
        <v>4</v>
      </c>
      <c r="D53" s="3">
        <f t="shared" si="8"/>
        <v>20.397940008672037</v>
      </c>
      <c r="E53" t="str">
        <f t="shared" si="9"/>
        <v>male</v>
      </c>
      <c r="F53" t="s">
        <v>12</v>
      </c>
    </row>
    <row r="54" spans="1:6" x14ac:dyDescent="0.2">
      <c r="A54">
        <f t="shared" si="5"/>
        <v>5</v>
      </c>
      <c r="B54" t="str">
        <f t="shared" si="7"/>
        <v>schizo</v>
      </c>
      <c r="C54">
        <f>IF(data!$B54&lt;&gt;data!$B53,1,C53+1)</f>
        <v>5</v>
      </c>
      <c r="D54" s="3">
        <f t="shared" si="8"/>
        <v>19.301029995663981</v>
      </c>
      <c r="E54" t="str">
        <f t="shared" si="9"/>
        <v>male</v>
      </c>
      <c r="F54" t="s">
        <v>12</v>
      </c>
    </row>
    <row r="55" spans="1:6" x14ac:dyDescent="0.2">
      <c r="A55">
        <f t="shared" si="5"/>
        <v>5</v>
      </c>
      <c r="B55" t="str">
        <f t="shared" si="7"/>
        <v>schizo</v>
      </c>
      <c r="C55">
        <f>IF(data!$B55&lt;&gt;data!$B54,1,C54+1)</f>
        <v>6</v>
      </c>
      <c r="D55" s="3">
        <f t="shared" si="8"/>
        <v>18.221848749616356</v>
      </c>
      <c r="E55" t="str">
        <f t="shared" si="9"/>
        <v>male</v>
      </c>
      <c r="F55" t="s">
        <v>12</v>
      </c>
    </row>
    <row r="56" spans="1:6" x14ac:dyDescent="0.2">
      <c r="A56">
        <f t="shared" si="5"/>
        <v>5</v>
      </c>
      <c r="B56" t="str">
        <f t="shared" si="7"/>
        <v>schizo</v>
      </c>
      <c r="C56">
        <f>IF(data!$B56&lt;&gt;data!$B55,1,C55+1)</f>
        <v>7</v>
      </c>
      <c r="D56" s="3">
        <f t="shared" si="8"/>
        <v>17.154901959985743</v>
      </c>
      <c r="E56" t="str">
        <f t="shared" si="9"/>
        <v>male</v>
      </c>
      <c r="F56" t="s">
        <v>12</v>
      </c>
    </row>
    <row r="57" spans="1:6" x14ac:dyDescent="0.2">
      <c r="A57">
        <f t="shared" si="5"/>
        <v>5</v>
      </c>
      <c r="B57" t="str">
        <f t="shared" si="7"/>
        <v>schizo</v>
      </c>
      <c r="C57">
        <f>IF(data!$B57&lt;&gt;data!$B56,1,C56+1)</f>
        <v>8</v>
      </c>
      <c r="D57" s="3">
        <f t="shared" si="8"/>
        <v>16.096910013008056</v>
      </c>
      <c r="E57" t="str">
        <f t="shared" si="9"/>
        <v>male</v>
      </c>
      <c r="F57" t="s">
        <v>12</v>
      </c>
    </row>
    <row r="58" spans="1:6" x14ac:dyDescent="0.2">
      <c r="A58">
        <f t="shared" si="5"/>
        <v>5</v>
      </c>
      <c r="B58" t="str">
        <f t="shared" si="7"/>
        <v>schizo</v>
      </c>
      <c r="C58">
        <f>IF(data!$B58&lt;&gt;data!$B57,1,C57+1)</f>
        <v>9</v>
      </c>
      <c r="D58" s="3">
        <f t="shared" si="8"/>
        <v>15.045757490560675</v>
      </c>
      <c r="E58" t="str">
        <f t="shared" si="9"/>
        <v>male</v>
      </c>
      <c r="F58" t="s">
        <v>12</v>
      </c>
    </row>
    <row r="59" spans="1:6" x14ac:dyDescent="0.2">
      <c r="A59">
        <f t="shared" si="5"/>
        <v>5</v>
      </c>
      <c r="B59" t="str">
        <f t="shared" si="7"/>
        <v>schizo</v>
      </c>
      <c r="C59">
        <f>IF(data!$B59&lt;&gt;data!$B58,1,C58+1)</f>
        <v>10</v>
      </c>
      <c r="D59" s="3">
        <f t="shared" si="8"/>
        <v>14</v>
      </c>
      <c r="E59" t="str">
        <f t="shared" si="9"/>
        <v>male</v>
      </c>
      <c r="F59" t="s">
        <v>12</v>
      </c>
    </row>
    <row r="60" spans="1:6" x14ac:dyDescent="0.2">
      <c r="A60">
        <f t="shared" si="5"/>
        <v>5</v>
      </c>
      <c r="B60" t="str">
        <f t="shared" si="7"/>
        <v>schizo</v>
      </c>
      <c r="C60">
        <f>IF(data!$B60&lt;&gt;data!$B59,1,C59+1)</f>
        <v>11</v>
      </c>
      <c r="D60" s="3">
        <f t="shared" si="8"/>
        <v>12.958607314841775</v>
      </c>
      <c r="E60" t="str">
        <f t="shared" si="9"/>
        <v>male</v>
      </c>
      <c r="F60" t="s">
        <v>12</v>
      </c>
    </row>
    <row r="61" spans="1:6" x14ac:dyDescent="0.2">
      <c r="A61">
        <f t="shared" si="5"/>
        <v>5</v>
      </c>
      <c r="B61" t="str">
        <f t="shared" si="7"/>
        <v>schizo</v>
      </c>
      <c r="C61">
        <f>IF(data!$B61&lt;&gt;data!$B60,1,C60+1)</f>
        <v>12</v>
      </c>
      <c r="D61" s="3">
        <f t="shared" si="8"/>
        <v>11.920818753952375</v>
      </c>
      <c r="E61" t="str">
        <f t="shared" si="9"/>
        <v>male</v>
      </c>
      <c r="F61" t="s">
        <v>12</v>
      </c>
    </row>
    <row r="62" spans="1:6" x14ac:dyDescent="0.2">
      <c r="A62">
        <f t="shared" si="5"/>
        <v>6</v>
      </c>
      <c r="B62" t="str">
        <f t="shared" si="7"/>
        <v>dementia</v>
      </c>
      <c r="C62">
        <f>IF(data!$B62&lt;&gt;data!$B61,1,C61+1)</f>
        <v>1</v>
      </c>
      <c r="D62" s="3">
        <f t="shared" si="8"/>
        <v>26</v>
      </c>
      <c r="E62" t="str">
        <f t="shared" si="9"/>
        <v>male</v>
      </c>
      <c r="F62" t="s">
        <v>12</v>
      </c>
    </row>
    <row r="63" spans="1:6" x14ac:dyDescent="0.2">
      <c r="A63">
        <f t="shared" si="5"/>
        <v>6</v>
      </c>
      <c r="B63" t="str">
        <f t="shared" si="7"/>
        <v>dementia</v>
      </c>
      <c r="C63">
        <f>IF(data!$B63&lt;&gt;data!$B62,1,C62+1)</f>
        <v>2</v>
      </c>
      <c r="D63" s="3">
        <f t="shared" si="8"/>
        <v>24.198970004336019</v>
      </c>
      <c r="E63" t="str">
        <f t="shared" si="9"/>
        <v>male</v>
      </c>
      <c r="F63" t="s">
        <v>12</v>
      </c>
    </row>
    <row r="64" spans="1:6" x14ac:dyDescent="0.2">
      <c r="A64">
        <f t="shared" si="5"/>
        <v>6</v>
      </c>
      <c r="B64" t="str">
        <f t="shared" si="7"/>
        <v>dementia</v>
      </c>
      <c r="C64">
        <f>IF(data!$B64&lt;&gt;data!$B63,1,C63+1)</f>
        <v>3</v>
      </c>
      <c r="D64" s="3">
        <f t="shared" si="8"/>
        <v>22.522878745280337</v>
      </c>
      <c r="E64" t="str">
        <f t="shared" si="9"/>
        <v>male</v>
      </c>
      <c r="F64" t="s">
        <v>12</v>
      </c>
    </row>
    <row r="65" spans="1:6" x14ac:dyDescent="0.2">
      <c r="A65">
        <f t="shared" si="5"/>
        <v>6</v>
      </c>
      <c r="B65" t="str">
        <f t="shared" si="7"/>
        <v>dementia</v>
      </c>
      <c r="C65">
        <f>IF(data!$B65&lt;&gt;data!$B64,1,C64+1)</f>
        <v>4</v>
      </c>
      <c r="D65" s="3">
        <f t="shared" si="8"/>
        <v>20.897940008672037</v>
      </c>
      <c r="E65" t="str">
        <f t="shared" si="9"/>
        <v>male</v>
      </c>
      <c r="F65" t="s">
        <v>12</v>
      </c>
    </row>
    <row r="66" spans="1:6" x14ac:dyDescent="0.2">
      <c r="A66">
        <f t="shared" si="5"/>
        <v>6</v>
      </c>
      <c r="B66" t="str">
        <f t="shared" si="7"/>
        <v>dementia</v>
      </c>
      <c r="C66">
        <f>IF(data!$B66&lt;&gt;data!$B65,1,C65+1)</f>
        <v>5</v>
      </c>
      <c r="D66" s="3">
        <f t="shared" si="8"/>
        <v>19.301029995663981</v>
      </c>
      <c r="E66" t="str">
        <f t="shared" si="9"/>
        <v>male</v>
      </c>
      <c r="F66" t="s">
        <v>12</v>
      </c>
    </row>
    <row r="67" spans="1:6" x14ac:dyDescent="0.2">
      <c r="A67">
        <f t="shared" ref="A67:A97" si="10">IF(B67=B66,A66,A66+1)</f>
        <v>6</v>
      </c>
      <c r="B67" t="str">
        <f t="shared" si="7"/>
        <v>dementia</v>
      </c>
      <c r="C67">
        <f>IF(data!$B67&lt;&gt;data!$B66,1,C66+1)</f>
        <v>6</v>
      </c>
      <c r="D67" s="3">
        <f t="shared" si="8"/>
        <v>17.721848749616356</v>
      </c>
      <c r="E67" t="str">
        <f t="shared" si="9"/>
        <v>male</v>
      </c>
      <c r="F67" t="s">
        <v>12</v>
      </c>
    </row>
    <row r="68" spans="1:6" x14ac:dyDescent="0.2">
      <c r="A68">
        <f t="shared" si="10"/>
        <v>6</v>
      </c>
      <c r="B68" t="str">
        <f t="shared" si="7"/>
        <v>dementia</v>
      </c>
      <c r="C68">
        <f>IF(data!$B68&lt;&gt;data!$B67,1,C67+1)</f>
        <v>7</v>
      </c>
      <c r="D68" s="3">
        <f t="shared" si="8"/>
        <v>16.154901959985743</v>
      </c>
      <c r="E68" t="str">
        <f t="shared" si="9"/>
        <v>male</v>
      </c>
      <c r="F68" t="s">
        <v>12</v>
      </c>
    </row>
    <row r="69" spans="1:6" x14ac:dyDescent="0.2">
      <c r="A69">
        <f t="shared" si="10"/>
        <v>6</v>
      </c>
      <c r="B69" t="str">
        <f t="shared" si="7"/>
        <v>dementia</v>
      </c>
      <c r="C69">
        <f>IF(data!$B69&lt;&gt;data!$B68,1,C68+1)</f>
        <v>8</v>
      </c>
      <c r="D69" s="3">
        <f t="shared" si="8"/>
        <v>14.596910013008056</v>
      </c>
      <c r="E69" t="str">
        <f t="shared" si="9"/>
        <v>male</v>
      </c>
      <c r="F69" t="s">
        <v>12</v>
      </c>
    </row>
    <row r="70" spans="1:6" x14ac:dyDescent="0.2">
      <c r="A70">
        <f t="shared" si="10"/>
        <v>6</v>
      </c>
      <c r="B70" t="str">
        <f t="shared" si="7"/>
        <v>dementia</v>
      </c>
      <c r="C70">
        <f>IF(data!$B70&lt;&gt;data!$B69,1,C69+1)</f>
        <v>9</v>
      </c>
      <c r="D70" s="3">
        <f t="shared" si="8"/>
        <v>13.045757490560675</v>
      </c>
      <c r="E70" t="str">
        <f t="shared" si="9"/>
        <v>male</v>
      </c>
      <c r="F70" t="s">
        <v>12</v>
      </c>
    </row>
    <row r="71" spans="1:6" x14ac:dyDescent="0.2">
      <c r="A71">
        <f t="shared" si="10"/>
        <v>6</v>
      </c>
      <c r="B71" t="str">
        <f t="shared" si="7"/>
        <v>dementia</v>
      </c>
      <c r="C71">
        <f>IF(data!$B71&lt;&gt;data!$B70,1,C70+1)</f>
        <v>10</v>
      </c>
      <c r="D71" s="3">
        <f t="shared" si="8"/>
        <v>11.5</v>
      </c>
      <c r="E71" t="str">
        <f t="shared" si="9"/>
        <v>male</v>
      </c>
      <c r="F71" t="s">
        <v>12</v>
      </c>
    </row>
    <row r="72" spans="1:6" x14ac:dyDescent="0.2">
      <c r="A72">
        <f t="shared" si="10"/>
        <v>6</v>
      </c>
      <c r="B72" t="str">
        <f t="shared" si="7"/>
        <v>dementia</v>
      </c>
      <c r="C72">
        <f>IF(data!$B72&lt;&gt;data!$B71,1,C71+1)</f>
        <v>11</v>
      </c>
      <c r="D72" s="3">
        <f t="shared" si="8"/>
        <v>9.9586073148417746</v>
      </c>
      <c r="E72" t="str">
        <f t="shared" si="9"/>
        <v>male</v>
      </c>
      <c r="F72" t="s">
        <v>12</v>
      </c>
    </row>
    <row r="73" spans="1:6" x14ac:dyDescent="0.2">
      <c r="A73">
        <f t="shared" si="10"/>
        <v>6</v>
      </c>
      <c r="B73" t="str">
        <f t="shared" si="7"/>
        <v>dementia</v>
      </c>
      <c r="C73">
        <f>IF(data!$B73&lt;&gt;data!$B72,1,C72+1)</f>
        <v>12</v>
      </c>
      <c r="D73" s="3">
        <f t="shared" si="8"/>
        <v>8.4208187539523749</v>
      </c>
      <c r="E73" t="str">
        <f t="shared" si="9"/>
        <v>male</v>
      </c>
      <c r="F73" t="s">
        <v>12</v>
      </c>
    </row>
    <row r="74" spans="1:6" x14ac:dyDescent="0.2">
      <c r="A74">
        <f t="shared" si="10"/>
        <v>7</v>
      </c>
      <c r="B74" t="str">
        <f t="shared" si="7"/>
        <v>schizo</v>
      </c>
      <c r="C74">
        <f>IF(data!$B74&lt;&gt;data!$B73,1,C73+1)</f>
        <v>1</v>
      </c>
      <c r="D74" s="3">
        <f t="shared" si="8"/>
        <v>25</v>
      </c>
      <c r="E74" t="str">
        <f t="shared" si="9"/>
        <v>female</v>
      </c>
      <c r="F74" t="s">
        <v>12</v>
      </c>
    </row>
    <row r="75" spans="1:6" x14ac:dyDescent="0.2">
      <c r="A75">
        <f t="shared" si="10"/>
        <v>7</v>
      </c>
      <c r="B75" t="str">
        <f t="shared" si="7"/>
        <v>schizo</v>
      </c>
      <c r="C75">
        <f>IF(data!$B75&lt;&gt;data!$B74,1,C74+1)</f>
        <v>2</v>
      </c>
      <c r="D75" s="3">
        <f t="shared" si="8"/>
        <v>24.198970004336019</v>
      </c>
      <c r="E75" t="str">
        <f t="shared" si="9"/>
        <v>female</v>
      </c>
      <c r="F75" t="s">
        <v>12</v>
      </c>
    </row>
    <row r="76" spans="1:6" x14ac:dyDescent="0.2">
      <c r="A76">
        <f t="shared" si="10"/>
        <v>7</v>
      </c>
      <c r="B76" t="str">
        <f t="shared" si="7"/>
        <v>schizo</v>
      </c>
      <c r="C76">
        <f>IF(data!$B76&lt;&gt;data!$B75,1,C75+1)</f>
        <v>3</v>
      </c>
      <c r="D76" s="3">
        <f t="shared" si="8"/>
        <v>23.522878745280337</v>
      </c>
      <c r="E76" t="str">
        <f t="shared" si="9"/>
        <v>female</v>
      </c>
      <c r="F76" t="s">
        <v>12</v>
      </c>
    </row>
    <row r="77" spans="1:6" x14ac:dyDescent="0.2">
      <c r="A77">
        <f t="shared" si="10"/>
        <v>7</v>
      </c>
      <c r="B77" t="str">
        <f t="shared" si="7"/>
        <v>schizo</v>
      </c>
      <c r="C77">
        <f>IF(data!$B77&lt;&gt;data!$B76,1,C76+1)</f>
        <v>4</v>
      </c>
      <c r="D77" s="3">
        <f t="shared" si="8"/>
        <v>22.897940008672037</v>
      </c>
      <c r="E77" t="str">
        <f t="shared" si="9"/>
        <v>female</v>
      </c>
      <c r="F77" t="s">
        <v>12</v>
      </c>
    </row>
    <row r="78" spans="1:6" x14ac:dyDescent="0.2">
      <c r="A78">
        <f t="shared" si="10"/>
        <v>7</v>
      </c>
      <c r="B78" t="str">
        <f t="shared" si="7"/>
        <v>schizo</v>
      </c>
      <c r="C78">
        <f>IF(data!$B78&lt;&gt;data!$B77,1,C77+1)</f>
        <v>5</v>
      </c>
      <c r="D78" s="3">
        <f t="shared" si="8"/>
        <v>22.301029995663981</v>
      </c>
      <c r="E78" t="str">
        <f t="shared" si="9"/>
        <v>female</v>
      </c>
      <c r="F78" t="s">
        <v>12</v>
      </c>
    </row>
    <row r="79" spans="1:6" x14ac:dyDescent="0.2">
      <c r="A79">
        <f t="shared" si="10"/>
        <v>7</v>
      </c>
      <c r="B79" t="str">
        <f t="shared" si="7"/>
        <v>schizo</v>
      </c>
      <c r="C79">
        <f>IF(data!$B79&lt;&gt;data!$B78,1,C78+1)</f>
        <v>6</v>
      </c>
      <c r="D79" s="3">
        <f t="shared" si="8"/>
        <v>21.721848749616356</v>
      </c>
      <c r="E79" t="str">
        <f t="shared" si="9"/>
        <v>female</v>
      </c>
      <c r="F79" t="s">
        <v>12</v>
      </c>
    </row>
    <row r="80" spans="1:6" x14ac:dyDescent="0.2">
      <c r="A80">
        <f t="shared" si="10"/>
        <v>7</v>
      </c>
      <c r="B80" t="str">
        <f t="shared" si="7"/>
        <v>schizo</v>
      </c>
      <c r="C80">
        <f>IF(data!$B80&lt;&gt;data!$B79,1,C79+1)</f>
        <v>7</v>
      </c>
      <c r="D80" s="3">
        <f t="shared" si="8"/>
        <v>21.154901959985743</v>
      </c>
      <c r="E80" t="str">
        <f t="shared" si="9"/>
        <v>female</v>
      </c>
      <c r="F80" t="s">
        <v>12</v>
      </c>
    </row>
    <row r="81" spans="1:6" x14ac:dyDescent="0.2">
      <c r="A81">
        <f t="shared" si="10"/>
        <v>7</v>
      </c>
      <c r="B81" t="str">
        <f t="shared" si="7"/>
        <v>schizo</v>
      </c>
      <c r="C81">
        <f>IF(data!$B81&lt;&gt;data!$B80,1,C80+1)</f>
        <v>8</v>
      </c>
      <c r="D81" s="3">
        <f t="shared" si="8"/>
        <v>20.596910013008056</v>
      </c>
      <c r="E81" t="str">
        <f t="shared" si="9"/>
        <v>female</v>
      </c>
      <c r="F81" t="s">
        <v>12</v>
      </c>
    </row>
    <row r="82" spans="1:6" x14ac:dyDescent="0.2">
      <c r="A82">
        <f t="shared" si="10"/>
        <v>7</v>
      </c>
      <c r="B82" t="str">
        <f t="shared" si="7"/>
        <v>schizo</v>
      </c>
      <c r="C82">
        <f>IF(data!$B82&lt;&gt;data!$B81,1,C81+1)</f>
        <v>9</v>
      </c>
      <c r="D82" s="3">
        <f t="shared" si="8"/>
        <v>20.045757490560675</v>
      </c>
      <c r="E82" t="str">
        <f t="shared" si="9"/>
        <v>female</v>
      </c>
      <c r="F82" t="s">
        <v>12</v>
      </c>
    </row>
    <row r="83" spans="1:6" x14ac:dyDescent="0.2">
      <c r="A83">
        <f t="shared" si="10"/>
        <v>7</v>
      </c>
      <c r="B83" t="str">
        <f t="shared" si="7"/>
        <v>schizo</v>
      </c>
      <c r="C83">
        <f>IF(data!$B83&lt;&gt;data!$B82,1,C82+1)</f>
        <v>10</v>
      </c>
      <c r="D83" s="3">
        <f t="shared" si="8"/>
        <v>19.5</v>
      </c>
      <c r="E83" t="str">
        <f t="shared" si="9"/>
        <v>female</v>
      </c>
      <c r="F83" t="s">
        <v>12</v>
      </c>
    </row>
    <row r="84" spans="1:6" x14ac:dyDescent="0.2">
      <c r="A84">
        <f t="shared" si="10"/>
        <v>7</v>
      </c>
      <c r="B84" t="str">
        <f t="shared" si="7"/>
        <v>schizo</v>
      </c>
      <c r="C84">
        <f>IF(data!$B84&lt;&gt;data!$B83,1,C83+1)</f>
        <v>11</v>
      </c>
      <c r="D84" s="3">
        <f t="shared" si="8"/>
        <v>18.958607314841775</v>
      </c>
      <c r="E84" t="str">
        <f t="shared" si="9"/>
        <v>female</v>
      </c>
      <c r="F84" t="s">
        <v>12</v>
      </c>
    </row>
    <row r="85" spans="1:6" x14ac:dyDescent="0.2">
      <c r="A85">
        <f t="shared" si="10"/>
        <v>7</v>
      </c>
      <c r="B85" t="str">
        <f t="shared" si="7"/>
        <v>schizo</v>
      </c>
      <c r="C85">
        <f>IF(data!$B85&lt;&gt;data!$B84,1,C84+1)</f>
        <v>12</v>
      </c>
      <c r="D85" s="3">
        <f t="shared" si="8"/>
        <v>18.420818753952375</v>
      </c>
      <c r="E85" t="str">
        <f t="shared" si="9"/>
        <v>female</v>
      </c>
      <c r="F85" t="s">
        <v>12</v>
      </c>
    </row>
    <row r="86" spans="1:6" x14ac:dyDescent="0.2">
      <c r="A86">
        <f t="shared" si="10"/>
        <v>8</v>
      </c>
      <c r="B86" t="str">
        <f t="shared" si="7"/>
        <v>dementia</v>
      </c>
      <c r="C86">
        <f>IF(data!$B86&lt;&gt;data!$B85,1,C85+1)</f>
        <v>1</v>
      </c>
      <c r="D86" s="3">
        <f t="shared" si="8"/>
        <v>27</v>
      </c>
      <c r="E86" t="str">
        <f t="shared" si="9"/>
        <v>female</v>
      </c>
      <c r="F86" t="s">
        <v>12</v>
      </c>
    </row>
    <row r="87" spans="1:6" x14ac:dyDescent="0.2">
      <c r="A87">
        <f t="shared" si="10"/>
        <v>8</v>
      </c>
      <c r="B87" t="str">
        <f t="shared" si="7"/>
        <v>dementia</v>
      </c>
      <c r="C87">
        <f>IF(data!$B87&lt;&gt;data!$B86,1,C86+1)</f>
        <v>2</v>
      </c>
      <c r="D87" s="3">
        <f t="shared" si="8"/>
        <v>25.498970004336019</v>
      </c>
      <c r="E87" t="str">
        <f t="shared" si="9"/>
        <v>female</v>
      </c>
      <c r="F87" t="s">
        <v>12</v>
      </c>
    </row>
    <row r="88" spans="1:6" x14ac:dyDescent="0.2">
      <c r="A88">
        <f t="shared" si="10"/>
        <v>8</v>
      </c>
      <c r="B88" t="str">
        <f t="shared" si="7"/>
        <v>dementia</v>
      </c>
      <c r="C88">
        <f>IF(data!$B88&lt;&gt;data!$B87,1,C87+1)</f>
        <v>3</v>
      </c>
      <c r="D88" s="3">
        <f t="shared" si="8"/>
        <v>24.122878745280339</v>
      </c>
      <c r="E88" t="str">
        <f t="shared" si="9"/>
        <v>female</v>
      </c>
      <c r="F88" t="s">
        <v>12</v>
      </c>
    </row>
    <row r="89" spans="1:6" x14ac:dyDescent="0.2">
      <c r="A89">
        <f t="shared" si="10"/>
        <v>8</v>
      </c>
      <c r="B89" t="str">
        <f t="shared" si="7"/>
        <v>dementia</v>
      </c>
      <c r="C89">
        <f>IF(data!$B89&lt;&gt;data!$B88,1,C88+1)</f>
        <v>4</v>
      </c>
      <c r="D89" s="3">
        <f t="shared" si="8"/>
        <v>22.79794000867204</v>
      </c>
      <c r="E89" t="str">
        <f t="shared" si="9"/>
        <v>female</v>
      </c>
      <c r="F89" t="s">
        <v>12</v>
      </c>
    </row>
    <row r="90" spans="1:6" x14ac:dyDescent="0.2">
      <c r="A90">
        <f t="shared" si="10"/>
        <v>8</v>
      </c>
      <c r="B90" t="str">
        <f t="shared" si="7"/>
        <v>dementia</v>
      </c>
      <c r="C90">
        <f>IF(data!$B90&lt;&gt;data!$B89,1,C89+1)</f>
        <v>5</v>
      </c>
      <c r="D90" s="3">
        <f t="shared" si="8"/>
        <v>21.501029995663984</v>
      </c>
      <c r="E90" t="str">
        <f t="shared" si="9"/>
        <v>female</v>
      </c>
      <c r="F90" t="s">
        <v>12</v>
      </c>
    </row>
    <row r="91" spans="1:6" x14ac:dyDescent="0.2">
      <c r="A91">
        <f t="shared" si="10"/>
        <v>8</v>
      </c>
      <c r="B91" t="str">
        <f t="shared" si="7"/>
        <v>dementia</v>
      </c>
      <c r="C91">
        <f>IF(data!$B91&lt;&gt;data!$B90,1,C90+1)</f>
        <v>6</v>
      </c>
      <c r="D91" s="3">
        <f t="shared" si="8"/>
        <v>20.22184874961636</v>
      </c>
      <c r="E91" t="str">
        <f t="shared" si="9"/>
        <v>female</v>
      </c>
      <c r="F91" t="s">
        <v>12</v>
      </c>
    </row>
    <row r="92" spans="1:6" x14ac:dyDescent="0.2">
      <c r="A92">
        <f t="shared" si="10"/>
        <v>8</v>
      </c>
      <c r="B92" t="str">
        <f t="shared" si="7"/>
        <v>dementia</v>
      </c>
      <c r="C92">
        <f>IF(data!$B92&lt;&gt;data!$B91,1,C91+1)</f>
        <v>7</v>
      </c>
      <c r="D92" s="3">
        <f t="shared" si="8"/>
        <v>18.954901959985747</v>
      </c>
      <c r="E92" t="str">
        <f t="shared" si="9"/>
        <v>female</v>
      </c>
      <c r="F92" t="s">
        <v>12</v>
      </c>
    </row>
    <row r="93" spans="1:6" x14ac:dyDescent="0.2">
      <c r="A93">
        <f t="shared" si="10"/>
        <v>8</v>
      </c>
      <c r="B93" t="str">
        <f t="shared" si="7"/>
        <v>dementia</v>
      </c>
      <c r="C93">
        <f>IF(data!$B93&lt;&gt;data!$B92,1,C92+1)</f>
        <v>8</v>
      </c>
      <c r="D93" s="3">
        <f t="shared" si="8"/>
        <v>17.696910013008061</v>
      </c>
      <c r="E93" t="str">
        <f t="shared" si="9"/>
        <v>female</v>
      </c>
      <c r="F93" t="s">
        <v>12</v>
      </c>
    </row>
    <row r="94" spans="1:6" x14ac:dyDescent="0.2">
      <c r="A94">
        <f t="shared" si="10"/>
        <v>8</v>
      </c>
      <c r="B94" t="str">
        <f t="shared" si="7"/>
        <v>dementia</v>
      </c>
      <c r="C94">
        <f>IF(data!$B94&lt;&gt;data!$B93,1,C93+1)</f>
        <v>9</v>
      </c>
      <c r="D94" s="3">
        <f t="shared" si="8"/>
        <v>16.44575749056068</v>
      </c>
      <c r="E94" t="str">
        <f t="shared" si="9"/>
        <v>female</v>
      </c>
      <c r="F94" t="s">
        <v>12</v>
      </c>
    </row>
    <row r="95" spans="1:6" x14ac:dyDescent="0.2">
      <c r="A95">
        <f t="shared" si="10"/>
        <v>8</v>
      </c>
      <c r="B95" t="str">
        <f t="shared" si="7"/>
        <v>dementia</v>
      </c>
      <c r="C95">
        <f>IF(data!$B95&lt;&gt;data!$B94,1,C94+1)</f>
        <v>10</v>
      </c>
      <c r="D95" s="3">
        <f t="shared" si="8"/>
        <v>15.200000000000006</v>
      </c>
      <c r="E95" t="str">
        <f t="shared" si="9"/>
        <v>female</v>
      </c>
      <c r="F95" t="s">
        <v>12</v>
      </c>
    </row>
    <row r="96" spans="1:6" x14ac:dyDescent="0.2">
      <c r="A96">
        <f t="shared" si="10"/>
        <v>8</v>
      </c>
      <c r="B96" t="str">
        <f t="shared" si="7"/>
        <v>dementia</v>
      </c>
      <c r="C96">
        <f>IF(data!$B96&lt;&gt;data!$B95,1,C95+1)</f>
        <v>11</v>
      </c>
      <c r="D96" s="3">
        <f t="shared" si="8"/>
        <v>13.958607314841782</v>
      </c>
      <c r="E96" t="str">
        <f t="shared" si="9"/>
        <v>female</v>
      </c>
      <c r="F96" t="s">
        <v>12</v>
      </c>
    </row>
    <row r="97" spans="1:6" x14ac:dyDescent="0.2">
      <c r="A97">
        <f t="shared" si="10"/>
        <v>8</v>
      </c>
      <c r="B97" t="str">
        <f t="shared" si="7"/>
        <v>dementia</v>
      </c>
      <c r="C97">
        <f>IF(data!$B97&lt;&gt;data!$B96,1,C96+1)</f>
        <v>12</v>
      </c>
      <c r="D97" s="3">
        <f t="shared" si="8"/>
        <v>12.720818753952383</v>
      </c>
      <c r="E97" t="str">
        <f t="shared" si="9"/>
        <v>female</v>
      </c>
      <c r="F97" t="s">
        <v>12</v>
      </c>
    </row>
  </sheetData>
  <autoFilter ref="A1:F97" xr:uid="{A5DD13CB-7746-4C02-84BE-8F8E3D061773}"/>
  <conditionalFormatting sqref="A1:E1">
    <cfRule type="containsText" dxfId="7" priority="5" operator="containsText" text="imput">
      <formula>NOT(ISERROR(SEARCH("imput",A1)))</formula>
    </cfRule>
  </conditionalFormatting>
  <conditionalFormatting sqref="E1:E97">
    <cfRule type="containsText" dxfId="6" priority="4" operator="containsText" text="female">
      <formula>NOT(ISERROR(SEARCH("female",E1)))</formula>
    </cfRule>
  </conditionalFormatting>
  <conditionalFormatting sqref="B1:B97">
    <cfRule type="containsText" dxfId="5" priority="3" operator="containsText" text="schizo">
      <formula>NOT(ISERROR(SEARCH("schizo",B1)))</formula>
    </cfRule>
  </conditionalFormatting>
  <conditionalFormatting sqref="F1">
    <cfRule type="containsText" dxfId="4" priority="2" operator="containsText" text="imput">
      <formula>NOT(ISERROR(SEARCH("imput",F1)))</formula>
    </cfRule>
  </conditionalFormatting>
  <conditionalFormatting sqref="F1:F1048576">
    <cfRule type="containsText" dxfId="3" priority="1" operator="containsText" text="yes">
      <formula>NOT(ISERROR(SEARCH("yes",F1)))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te_data">
                <anchor moveWithCells="1" sizeWithCells="1">
                  <from>
                    <xdr:col>7</xdr:col>
                    <xdr:colOff>63500</xdr:colOff>
                    <xdr:row>7</xdr:row>
                    <xdr:rowOff>0</xdr:rowOff>
                  </from>
                  <to>
                    <xdr:col>9</xdr:col>
                    <xdr:colOff>482600</xdr:colOff>
                    <xdr:row>9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15CE-A876-4299-9EBF-62DD56CC69D2}">
  <sheetPr codeName="Sheet4"/>
  <dimension ref="A1:F288"/>
  <sheetViews>
    <sheetView topLeftCell="A184" workbookViewId="0">
      <selection activeCell="D191" sqref="D191"/>
    </sheetView>
  </sheetViews>
  <sheetFormatPr baseColWidth="10" defaultColWidth="8.83203125" defaultRowHeight="15" x14ac:dyDescent="0.2"/>
  <sheetData>
    <row r="1" spans="1:6" x14ac:dyDescent="0.2">
      <c r="A1">
        <v>1</v>
      </c>
      <c r="B1" t="s">
        <v>5</v>
      </c>
      <c r="C1">
        <v>1</v>
      </c>
      <c r="D1">
        <v>15</v>
      </c>
      <c r="E1" t="s">
        <v>7</v>
      </c>
      <c r="F1" t="s">
        <v>14</v>
      </c>
    </row>
    <row r="2" spans="1:6" x14ac:dyDescent="0.2">
      <c r="A2">
        <v>1</v>
      </c>
      <c r="B2" t="s">
        <v>5</v>
      </c>
      <c r="C2">
        <v>2</v>
      </c>
      <c r="D2">
        <v>14</v>
      </c>
      <c r="E2" t="s">
        <v>7</v>
      </c>
      <c r="F2" t="s">
        <v>14</v>
      </c>
    </row>
    <row r="3" spans="1:6" x14ac:dyDescent="0.2">
      <c r="A3">
        <v>1</v>
      </c>
      <c r="B3" t="s">
        <v>5</v>
      </c>
      <c r="C3">
        <v>3</v>
      </c>
      <c r="D3">
        <v>13</v>
      </c>
      <c r="E3" t="s">
        <v>7</v>
      </c>
      <c r="F3" t="s">
        <v>14</v>
      </c>
    </row>
    <row r="4" spans="1:6" x14ac:dyDescent="0.2">
      <c r="A4">
        <v>1</v>
      </c>
      <c r="B4" t="s">
        <v>5</v>
      </c>
      <c r="C4">
        <v>4</v>
      </c>
      <c r="D4">
        <v>12</v>
      </c>
      <c r="E4" t="s">
        <v>7</v>
      </c>
      <c r="F4" t="s">
        <v>14</v>
      </c>
    </row>
    <row r="5" spans="1:6" x14ac:dyDescent="0.2">
      <c r="A5">
        <v>1</v>
      </c>
      <c r="B5" t="s">
        <v>5</v>
      </c>
      <c r="C5">
        <v>5</v>
      </c>
      <c r="D5">
        <v>11</v>
      </c>
      <c r="E5" t="s">
        <v>7</v>
      </c>
      <c r="F5" t="s">
        <v>14</v>
      </c>
    </row>
    <row r="6" spans="1:6" x14ac:dyDescent="0.2">
      <c r="A6">
        <v>1</v>
      </c>
      <c r="B6" t="s">
        <v>5</v>
      </c>
      <c r="C6">
        <v>6</v>
      </c>
      <c r="D6">
        <v>10</v>
      </c>
      <c r="E6" t="s">
        <v>7</v>
      </c>
      <c r="F6" t="s">
        <v>14</v>
      </c>
    </row>
    <row r="7" spans="1:6" x14ac:dyDescent="0.2">
      <c r="A7">
        <v>1</v>
      </c>
      <c r="B7" t="s">
        <v>5</v>
      </c>
      <c r="C7">
        <v>7</v>
      </c>
      <c r="D7">
        <v>9</v>
      </c>
      <c r="E7" t="s">
        <v>7</v>
      </c>
      <c r="F7" t="s">
        <v>14</v>
      </c>
    </row>
    <row r="8" spans="1:6" x14ac:dyDescent="0.2">
      <c r="A8">
        <v>1</v>
      </c>
      <c r="B8" t="s">
        <v>5</v>
      </c>
      <c r="C8">
        <v>8</v>
      </c>
      <c r="D8">
        <v>8</v>
      </c>
      <c r="E8" t="s">
        <v>7</v>
      </c>
      <c r="F8" t="s">
        <v>14</v>
      </c>
    </row>
    <row r="9" spans="1:6" x14ac:dyDescent="0.2">
      <c r="A9">
        <v>1</v>
      </c>
      <c r="B9" t="s">
        <v>5</v>
      </c>
      <c r="C9">
        <v>9</v>
      </c>
      <c r="D9">
        <v>7</v>
      </c>
      <c r="E9" t="s">
        <v>7</v>
      </c>
      <c r="F9" t="s">
        <v>14</v>
      </c>
    </row>
    <row r="10" spans="1:6" x14ac:dyDescent="0.2">
      <c r="A10">
        <v>1</v>
      </c>
      <c r="B10" t="s">
        <v>5</v>
      </c>
      <c r="C10">
        <v>10</v>
      </c>
      <c r="D10">
        <v>6</v>
      </c>
      <c r="E10" t="s">
        <v>7</v>
      </c>
      <c r="F10" t="s">
        <v>14</v>
      </c>
    </row>
    <row r="11" spans="1:6" x14ac:dyDescent="0.2">
      <c r="A11">
        <v>1</v>
      </c>
      <c r="B11" t="s">
        <v>5</v>
      </c>
      <c r="C11">
        <v>11</v>
      </c>
      <c r="D11">
        <v>5</v>
      </c>
      <c r="E11" t="s">
        <v>7</v>
      </c>
      <c r="F11" t="s">
        <v>14</v>
      </c>
    </row>
    <row r="12" spans="1:6" x14ac:dyDescent="0.2">
      <c r="A12">
        <v>1</v>
      </c>
      <c r="B12" t="s">
        <v>5</v>
      </c>
      <c r="C12">
        <v>12</v>
      </c>
      <c r="D12">
        <v>4</v>
      </c>
      <c r="E12" t="s">
        <v>7</v>
      </c>
      <c r="F12" t="s">
        <v>14</v>
      </c>
    </row>
    <row r="13" spans="1:6" x14ac:dyDescent="0.2">
      <c r="A13">
        <v>2</v>
      </c>
      <c r="B13" t="s">
        <v>6</v>
      </c>
      <c r="C13">
        <v>1</v>
      </c>
      <c r="D13">
        <v>17</v>
      </c>
      <c r="E13" t="s">
        <v>7</v>
      </c>
      <c r="F13" t="s">
        <v>14</v>
      </c>
    </row>
    <row r="14" spans="1:6" x14ac:dyDescent="0.2">
      <c r="A14">
        <v>2</v>
      </c>
      <c r="B14" t="s">
        <v>6</v>
      </c>
      <c r="C14">
        <v>2</v>
      </c>
      <c r="D14">
        <v>15.5</v>
      </c>
      <c r="E14" t="s">
        <v>7</v>
      </c>
      <c r="F14" t="s">
        <v>14</v>
      </c>
    </row>
    <row r="15" spans="1:6" x14ac:dyDescent="0.2">
      <c r="A15">
        <v>2</v>
      </c>
      <c r="B15" t="s">
        <v>6</v>
      </c>
      <c r="C15">
        <v>3</v>
      </c>
      <c r="D15">
        <v>14</v>
      </c>
      <c r="E15" t="s">
        <v>7</v>
      </c>
      <c r="F15" t="s">
        <v>14</v>
      </c>
    </row>
    <row r="16" spans="1:6" x14ac:dyDescent="0.2">
      <c r="A16">
        <v>2</v>
      </c>
      <c r="B16" t="s">
        <v>6</v>
      </c>
      <c r="C16">
        <v>4</v>
      </c>
      <c r="D16">
        <v>12.5</v>
      </c>
      <c r="E16" t="s">
        <v>7</v>
      </c>
      <c r="F16" t="s">
        <v>14</v>
      </c>
    </row>
    <row r="17" spans="1:6" x14ac:dyDescent="0.2">
      <c r="A17">
        <v>2</v>
      </c>
      <c r="B17" t="s">
        <v>6</v>
      </c>
      <c r="C17">
        <v>5</v>
      </c>
      <c r="D17">
        <v>11</v>
      </c>
      <c r="E17" t="s">
        <v>7</v>
      </c>
      <c r="F17" t="s">
        <v>14</v>
      </c>
    </row>
    <row r="18" spans="1:6" x14ac:dyDescent="0.2">
      <c r="A18">
        <v>2</v>
      </c>
      <c r="B18" t="s">
        <v>6</v>
      </c>
      <c r="C18">
        <v>6</v>
      </c>
      <c r="D18">
        <v>9.5</v>
      </c>
      <c r="E18" t="s">
        <v>7</v>
      </c>
      <c r="F18" t="s">
        <v>14</v>
      </c>
    </row>
    <row r="19" spans="1:6" x14ac:dyDescent="0.2">
      <c r="A19">
        <v>2</v>
      </c>
      <c r="B19" t="s">
        <v>6</v>
      </c>
      <c r="C19">
        <v>7</v>
      </c>
      <c r="D19">
        <v>8</v>
      </c>
      <c r="E19" t="s">
        <v>7</v>
      </c>
      <c r="F19" t="s">
        <v>14</v>
      </c>
    </row>
    <row r="20" spans="1:6" x14ac:dyDescent="0.2">
      <c r="A20">
        <v>2</v>
      </c>
      <c r="B20" t="s">
        <v>6</v>
      </c>
      <c r="C20">
        <v>8</v>
      </c>
      <c r="D20">
        <v>6.5</v>
      </c>
      <c r="E20" t="s">
        <v>7</v>
      </c>
      <c r="F20" t="s">
        <v>14</v>
      </c>
    </row>
    <row r="21" spans="1:6" x14ac:dyDescent="0.2">
      <c r="A21">
        <v>2</v>
      </c>
      <c r="B21" t="s">
        <v>6</v>
      </c>
      <c r="C21">
        <v>9</v>
      </c>
      <c r="D21">
        <v>5</v>
      </c>
      <c r="E21" t="s">
        <v>7</v>
      </c>
      <c r="F21" t="s">
        <v>14</v>
      </c>
    </row>
    <row r="22" spans="1:6" x14ac:dyDescent="0.2">
      <c r="A22">
        <v>2</v>
      </c>
      <c r="B22" t="s">
        <v>6</v>
      </c>
      <c r="C22">
        <v>10</v>
      </c>
      <c r="D22">
        <v>3.5</v>
      </c>
      <c r="E22" t="s">
        <v>7</v>
      </c>
      <c r="F22" t="s">
        <v>14</v>
      </c>
    </row>
    <row r="23" spans="1:6" x14ac:dyDescent="0.2">
      <c r="A23">
        <v>2</v>
      </c>
      <c r="B23" t="s">
        <v>6</v>
      </c>
      <c r="C23">
        <v>11</v>
      </c>
      <c r="D23">
        <v>2</v>
      </c>
      <c r="E23" t="s">
        <v>7</v>
      </c>
      <c r="F23" t="s">
        <v>14</v>
      </c>
    </row>
    <row r="24" spans="1:6" x14ac:dyDescent="0.2">
      <c r="A24">
        <v>2</v>
      </c>
      <c r="B24" t="s">
        <v>6</v>
      </c>
      <c r="C24">
        <v>12</v>
      </c>
      <c r="D24">
        <v>0.5</v>
      </c>
      <c r="E24" t="s">
        <v>7</v>
      </c>
      <c r="F24" t="s">
        <v>14</v>
      </c>
    </row>
    <row r="25" spans="1:6" x14ac:dyDescent="0.2">
      <c r="A25">
        <v>3</v>
      </c>
      <c r="B25" t="s">
        <v>5</v>
      </c>
      <c r="C25">
        <v>1</v>
      </c>
      <c r="D25">
        <v>16</v>
      </c>
      <c r="E25" t="s">
        <v>13</v>
      </c>
      <c r="F25" t="s">
        <v>14</v>
      </c>
    </row>
    <row r="26" spans="1:6" x14ac:dyDescent="0.2">
      <c r="A26">
        <v>3</v>
      </c>
      <c r="B26" t="s">
        <v>5</v>
      </c>
      <c r="C26">
        <v>2</v>
      </c>
      <c r="D26">
        <v>15.5</v>
      </c>
      <c r="E26" t="s">
        <v>13</v>
      </c>
      <c r="F26" t="s">
        <v>14</v>
      </c>
    </row>
    <row r="27" spans="1:6" x14ac:dyDescent="0.2">
      <c r="A27">
        <v>3</v>
      </c>
      <c r="B27" t="s">
        <v>5</v>
      </c>
      <c r="C27">
        <v>3</v>
      </c>
      <c r="D27">
        <v>15</v>
      </c>
      <c r="E27" t="s">
        <v>13</v>
      </c>
      <c r="F27" t="s">
        <v>14</v>
      </c>
    </row>
    <row r="28" spans="1:6" x14ac:dyDescent="0.2">
      <c r="A28">
        <v>3</v>
      </c>
      <c r="B28" t="s">
        <v>5</v>
      </c>
      <c r="C28">
        <v>4</v>
      </c>
      <c r="D28">
        <v>14.5</v>
      </c>
      <c r="E28" t="s">
        <v>13</v>
      </c>
      <c r="F28" t="s">
        <v>14</v>
      </c>
    </row>
    <row r="29" spans="1:6" x14ac:dyDescent="0.2">
      <c r="A29">
        <v>3</v>
      </c>
      <c r="B29" t="s">
        <v>5</v>
      </c>
      <c r="C29">
        <v>5</v>
      </c>
      <c r="D29">
        <v>14</v>
      </c>
      <c r="E29" t="s">
        <v>13</v>
      </c>
      <c r="F29" t="s">
        <v>14</v>
      </c>
    </row>
    <row r="30" spans="1:6" x14ac:dyDescent="0.2">
      <c r="A30">
        <v>3</v>
      </c>
      <c r="B30" t="s">
        <v>5</v>
      </c>
      <c r="C30">
        <v>6</v>
      </c>
      <c r="D30">
        <v>13.5</v>
      </c>
      <c r="E30" t="s">
        <v>13</v>
      </c>
      <c r="F30" t="s">
        <v>14</v>
      </c>
    </row>
    <row r="31" spans="1:6" x14ac:dyDescent="0.2">
      <c r="A31">
        <v>3</v>
      </c>
      <c r="B31" t="s">
        <v>5</v>
      </c>
      <c r="C31">
        <v>7</v>
      </c>
      <c r="D31">
        <v>13</v>
      </c>
      <c r="E31" t="s">
        <v>13</v>
      </c>
      <c r="F31" t="s">
        <v>14</v>
      </c>
    </row>
    <row r="32" spans="1:6" x14ac:dyDescent="0.2">
      <c r="A32">
        <v>3</v>
      </c>
      <c r="B32" t="s">
        <v>5</v>
      </c>
      <c r="C32">
        <v>8</v>
      </c>
      <c r="D32">
        <v>12.5</v>
      </c>
      <c r="E32" t="s">
        <v>13</v>
      </c>
      <c r="F32" t="s">
        <v>14</v>
      </c>
    </row>
    <row r="33" spans="1:6" x14ac:dyDescent="0.2">
      <c r="A33">
        <v>3</v>
      </c>
      <c r="B33" t="s">
        <v>5</v>
      </c>
      <c r="C33">
        <v>9</v>
      </c>
      <c r="D33">
        <v>12</v>
      </c>
      <c r="E33" t="s">
        <v>13</v>
      </c>
      <c r="F33" t="s">
        <v>14</v>
      </c>
    </row>
    <row r="34" spans="1:6" x14ac:dyDescent="0.2">
      <c r="A34">
        <v>3</v>
      </c>
      <c r="B34" t="s">
        <v>5</v>
      </c>
      <c r="C34">
        <v>10</v>
      </c>
      <c r="D34">
        <v>11.5</v>
      </c>
      <c r="E34" t="s">
        <v>13</v>
      </c>
      <c r="F34" t="s">
        <v>14</v>
      </c>
    </row>
    <row r="35" spans="1:6" x14ac:dyDescent="0.2">
      <c r="A35">
        <v>3</v>
      </c>
      <c r="B35" t="s">
        <v>5</v>
      </c>
      <c r="C35">
        <v>11</v>
      </c>
      <c r="D35">
        <v>11</v>
      </c>
      <c r="E35" t="s">
        <v>13</v>
      </c>
      <c r="F35" t="s">
        <v>14</v>
      </c>
    </row>
    <row r="36" spans="1:6" x14ac:dyDescent="0.2">
      <c r="A36">
        <v>3</v>
      </c>
      <c r="B36" t="s">
        <v>5</v>
      </c>
      <c r="C36">
        <v>12</v>
      </c>
      <c r="D36">
        <v>10.5</v>
      </c>
      <c r="E36" t="s">
        <v>13</v>
      </c>
      <c r="F36" t="s">
        <v>14</v>
      </c>
    </row>
    <row r="37" spans="1:6" x14ac:dyDescent="0.2">
      <c r="A37">
        <v>4</v>
      </c>
      <c r="B37" t="s">
        <v>6</v>
      </c>
      <c r="C37">
        <v>1</v>
      </c>
      <c r="D37">
        <v>18</v>
      </c>
      <c r="E37" t="s">
        <v>13</v>
      </c>
      <c r="F37" t="s">
        <v>14</v>
      </c>
    </row>
    <row r="38" spans="1:6" x14ac:dyDescent="0.2">
      <c r="A38">
        <v>4</v>
      </c>
      <c r="B38" t="s">
        <v>6</v>
      </c>
      <c r="C38">
        <v>2</v>
      </c>
      <c r="D38">
        <v>16.8</v>
      </c>
      <c r="E38" t="s">
        <v>13</v>
      </c>
      <c r="F38" t="s">
        <v>14</v>
      </c>
    </row>
    <row r="39" spans="1:6" x14ac:dyDescent="0.2">
      <c r="A39">
        <v>4</v>
      </c>
      <c r="B39" t="s">
        <v>6</v>
      </c>
      <c r="C39">
        <v>3</v>
      </c>
      <c r="D39">
        <v>15.600000000000001</v>
      </c>
      <c r="E39" t="s">
        <v>13</v>
      </c>
      <c r="F39" t="s">
        <v>14</v>
      </c>
    </row>
    <row r="40" spans="1:6" x14ac:dyDescent="0.2">
      <c r="A40">
        <v>4</v>
      </c>
      <c r="B40" t="s">
        <v>6</v>
      </c>
      <c r="C40">
        <v>4</v>
      </c>
      <c r="D40">
        <v>14.400000000000002</v>
      </c>
      <c r="E40" t="s">
        <v>13</v>
      </c>
      <c r="F40" t="s">
        <v>14</v>
      </c>
    </row>
    <row r="41" spans="1:6" x14ac:dyDescent="0.2">
      <c r="A41">
        <v>4</v>
      </c>
      <c r="B41" t="s">
        <v>6</v>
      </c>
      <c r="C41">
        <v>5</v>
      </c>
      <c r="D41">
        <v>13.200000000000003</v>
      </c>
      <c r="E41" t="s">
        <v>13</v>
      </c>
      <c r="F41" t="s">
        <v>14</v>
      </c>
    </row>
    <row r="42" spans="1:6" x14ac:dyDescent="0.2">
      <c r="A42">
        <v>4</v>
      </c>
      <c r="B42" t="s">
        <v>6</v>
      </c>
      <c r="C42">
        <v>6</v>
      </c>
      <c r="D42">
        <v>12.000000000000004</v>
      </c>
      <c r="E42" t="s">
        <v>13</v>
      </c>
      <c r="F42" t="s">
        <v>14</v>
      </c>
    </row>
    <row r="43" spans="1:6" x14ac:dyDescent="0.2">
      <c r="A43">
        <v>4</v>
      </c>
      <c r="B43" t="s">
        <v>6</v>
      </c>
      <c r="C43">
        <v>7</v>
      </c>
      <c r="D43">
        <v>10.800000000000004</v>
      </c>
      <c r="E43" t="s">
        <v>13</v>
      </c>
      <c r="F43" t="s">
        <v>14</v>
      </c>
    </row>
    <row r="44" spans="1:6" x14ac:dyDescent="0.2">
      <c r="A44">
        <v>4</v>
      </c>
      <c r="B44" t="s">
        <v>6</v>
      </c>
      <c r="C44">
        <v>8</v>
      </c>
      <c r="D44">
        <v>9.600000000000005</v>
      </c>
      <c r="E44" t="s">
        <v>13</v>
      </c>
      <c r="F44" t="s">
        <v>14</v>
      </c>
    </row>
    <row r="45" spans="1:6" x14ac:dyDescent="0.2">
      <c r="A45">
        <v>4</v>
      </c>
      <c r="B45" t="s">
        <v>6</v>
      </c>
      <c r="C45">
        <v>9</v>
      </c>
      <c r="D45">
        <v>8.4000000000000057</v>
      </c>
      <c r="E45" t="s">
        <v>13</v>
      </c>
      <c r="F45" t="s">
        <v>14</v>
      </c>
    </row>
    <row r="46" spans="1:6" x14ac:dyDescent="0.2">
      <c r="A46">
        <v>4</v>
      </c>
      <c r="B46" t="s">
        <v>6</v>
      </c>
      <c r="C46">
        <v>10</v>
      </c>
      <c r="D46">
        <v>7.2000000000000055</v>
      </c>
      <c r="E46" t="s">
        <v>13</v>
      </c>
      <c r="F46" t="s">
        <v>14</v>
      </c>
    </row>
    <row r="47" spans="1:6" x14ac:dyDescent="0.2">
      <c r="A47">
        <v>4</v>
      </c>
      <c r="B47" t="s">
        <v>6</v>
      </c>
      <c r="C47">
        <v>11</v>
      </c>
      <c r="D47">
        <v>6.0000000000000053</v>
      </c>
      <c r="E47" t="s">
        <v>13</v>
      </c>
      <c r="F47" t="s">
        <v>14</v>
      </c>
    </row>
    <row r="48" spans="1:6" x14ac:dyDescent="0.2">
      <c r="A48">
        <v>4</v>
      </c>
      <c r="B48" t="s">
        <v>6</v>
      </c>
      <c r="C48">
        <v>12</v>
      </c>
      <c r="D48">
        <v>4.8000000000000052</v>
      </c>
      <c r="E48" t="s">
        <v>13</v>
      </c>
      <c r="F48" t="s">
        <v>14</v>
      </c>
    </row>
    <row r="49" spans="1:6" x14ac:dyDescent="0.2">
      <c r="A49">
        <v>5</v>
      </c>
      <c r="B49" t="s">
        <v>5</v>
      </c>
      <c r="C49">
        <v>1</v>
      </c>
      <c r="D49">
        <v>15</v>
      </c>
      <c r="E49" t="s">
        <v>7</v>
      </c>
      <c r="F49" t="s">
        <v>12</v>
      </c>
    </row>
    <row r="50" spans="1:6" x14ac:dyDescent="0.2">
      <c r="A50">
        <v>5</v>
      </c>
      <c r="B50" t="s">
        <v>5</v>
      </c>
      <c r="C50">
        <v>2</v>
      </c>
      <c r="D50">
        <v>13.698970004336019</v>
      </c>
      <c r="E50" t="s">
        <v>7</v>
      </c>
      <c r="F50" t="s">
        <v>12</v>
      </c>
    </row>
    <row r="51" spans="1:6" x14ac:dyDescent="0.2">
      <c r="A51">
        <v>5</v>
      </c>
      <c r="B51" t="s">
        <v>5</v>
      </c>
      <c r="C51">
        <v>3</v>
      </c>
      <c r="D51">
        <v>12.522878745280337</v>
      </c>
      <c r="E51" t="s">
        <v>7</v>
      </c>
      <c r="F51" t="s">
        <v>12</v>
      </c>
    </row>
    <row r="52" spans="1:6" x14ac:dyDescent="0.2">
      <c r="A52">
        <v>5</v>
      </c>
      <c r="B52" t="s">
        <v>5</v>
      </c>
      <c r="C52">
        <v>4</v>
      </c>
      <c r="D52">
        <v>11.397940008672037</v>
      </c>
      <c r="E52" t="s">
        <v>7</v>
      </c>
      <c r="F52" t="s">
        <v>12</v>
      </c>
    </row>
    <row r="53" spans="1:6" x14ac:dyDescent="0.2">
      <c r="A53">
        <v>5</v>
      </c>
      <c r="B53" t="s">
        <v>5</v>
      </c>
      <c r="C53">
        <v>5</v>
      </c>
      <c r="D53">
        <v>10.301029995663981</v>
      </c>
      <c r="E53" t="s">
        <v>7</v>
      </c>
      <c r="F53" t="s">
        <v>12</v>
      </c>
    </row>
    <row r="54" spans="1:6" x14ac:dyDescent="0.2">
      <c r="A54">
        <v>5</v>
      </c>
      <c r="B54" t="s">
        <v>5</v>
      </c>
      <c r="C54">
        <v>6</v>
      </c>
      <c r="D54">
        <v>9.2218487496163561</v>
      </c>
      <c r="E54" t="s">
        <v>7</v>
      </c>
      <c r="F54" t="s">
        <v>12</v>
      </c>
    </row>
    <row r="55" spans="1:6" x14ac:dyDescent="0.2">
      <c r="A55">
        <v>5</v>
      </c>
      <c r="B55" t="s">
        <v>5</v>
      </c>
      <c r="C55">
        <v>7</v>
      </c>
      <c r="D55">
        <v>8.1549019599857431</v>
      </c>
      <c r="E55" t="s">
        <v>7</v>
      </c>
      <c r="F55" t="s">
        <v>12</v>
      </c>
    </row>
    <row r="56" spans="1:6" x14ac:dyDescent="0.2">
      <c r="A56">
        <v>5</v>
      </c>
      <c r="B56" t="s">
        <v>5</v>
      </c>
      <c r="C56">
        <v>8</v>
      </c>
      <c r="D56">
        <v>7.0969100130080562</v>
      </c>
      <c r="E56" t="s">
        <v>7</v>
      </c>
      <c r="F56" t="s">
        <v>12</v>
      </c>
    </row>
    <row r="57" spans="1:6" x14ac:dyDescent="0.2">
      <c r="A57">
        <v>5</v>
      </c>
      <c r="B57" t="s">
        <v>5</v>
      </c>
      <c r="C57">
        <v>9</v>
      </c>
      <c r="D57">
        <v>6.0457574905606748</v>
      </c>
      <c r="E57" t="s">
        <v>7</v>
      </c>
      <c r="F57" t="s">
        <v>12</v>
      </c>
    </row>
    <row r="58" spans="1:6" x14ac:dyDescent="0.2">
      <c r="A58">
        <v>5</v>
      </c>
      <c r="B58" t="s">
        <v>5</v>
      </c>
      <c r="C58">
        <v>10</v>
      </c>
      <c r="D58">
        <v>5</v>
      </c>
      <c r="E58" t="s">
        <v>7</v>
      </c>
      <c r="F58" t="s">
        <v>12</v>
      </c>
    </row>
    <row r="59" spans="1:6" x14ac:dyDescent="0.2">
      <c r="A59">
        <v>5</v>
      </c>
      <c r="B59" t="s">
        <v>5</v>
      </c>
      <c r="C59">
        <v>11</v>
      </c>
      <c r="D59">
        <v>3.9586073148417746</v>
      </c>
      <c r="E59" t="s">
        <v>7</v>
      </c>
      <c r="F59" t="s">
        <v>12</v>
      </c>
    </row>
    <row r="60" spans="1:6" x14ac:dyDescent="0.2">
      <c r="A60">
        <v>5</v>
      </c>
      <c r="B60" t="s">
        <v>5</v>
      </c>
      <c r="C60">
        <v>12</v>
      </c>
      <c r="D60">
        <v>2.9208187539523749</v>
      </c>
      <c r="E60" t="s">
        <v>7</v>
      </c>
      <c r="F60" t="s">
        <v>12</v>
      </c>
    </row>
    <row r="61" spans="1:6" x14ac:dyDescent="0.2">
      <c r="A61">
        <v>6</v>
      </c>
      <c r="B61" t="s">
        <v>6</v>
      </c>
      <c r="C61">
        <v>1</v>
      </c>
      <c r="D61">
        <v>17</v>
      </c>
      <c r="E61" t="s">
        <v>7</v>
      </c>
      <c r="F61" t="s">
        <v>12</v>
      </c>
    </row>
    <row r="62" spans="1:6" x14ac:dyDescent="0.2">
      <c r="A62">
        <v>6</v>
      </c>
      <c r="B62" t="s">
        <v>6</v>
      </c>
      <c r="C62">
        <v>2</v>
      </c>
      <c r="D62">
        <v>15.198970004336019</v>
      </c>
      <c r="E62" t="s">
        <v>7</v>
      </c>
      <c r="F62" t="s">
        <v>12</v>
      </c>
    </row>
    <row r="63" spans="1:6" x14ac:dyDescent="0.2">
      <c r="A63">
        <v>6</v>
      </c>
      <c r="B63" t="s">
        <v>6</v>
      </c>
      <c r="C63">
        <v>3</v>
      </c>
      <c r="D63">
        <v>13.522878745280337</v>
      </c>
      <c r="E63" t="s">
        <v>7</v>
      </c>
      <c r="F63" t="s">
        <v>12</v>
      </c>
    </row>
    <row r="64" spans="1:6" x14ac:dyDescent="0.2">
      <c r="A64">
        <v>6</v>
      </c>
      <c r="B64" t="s">
        <v>6</v>
      </c>
      <c r="C64">
        <v>4</v>
      </c>
      <c r="D64">
        <v>11.897940008672037</v>
      </c>
      <c r="E64" t="s">
        <v>7</v>
      </c>
      <c r="F64" t="s">
        <v>12</v>
      </c>
    </row>
    <row r="65" spans="1:6" x14ac:dyDescent="0.2">
      <c r="A65">
        <v>6</v>
      </c>
      <c r="B65" t="s">
        <v>6</v>
      </c>
      <c r="C65">
        <v>5</v>
      </c>
      <c r="D65">
        <v>10.301029995663981</v>
      </c>
      <c r="E65" t="s">
        <v>7</v>
      </c>
      <c r="F65" t="s">
        <v>12</v>
      </c>
    </row>
    <row r="66" spans="1:6" x14ac:dyDescent="0.2">
      <c r="A66">
        <v>6</v>
      </c>
      <c r="B66" t="s">
        <v>6</v>
      </c>
      <c r="C66">
        <v>6</v>
      </c>
      <c r="D66">
        <v>8.7218487496163561</v>
      </c>
      <c r="E66" t="s">
        <v>7</v>
      </c>
      <c r="F66" t="s">
        <v>12</v>
      </c>
    </row>
    <row r="67" spans="1:6" x14ac:dyDescent="0.2">
      <c r="A67">
        <v>6</v>
      </c>
      <c r="B67" t="s">
        <v>6</v>
      </c>
      <c r="C67">
        <v>7</v>
      </c>
      <c r="D67">
        <v>7.1549019599857431</v>
      </c>
      <c r="E67" t="s">
        <v>7</v>
      </c>
      <c r="F67" t="s">
        <v>12</v>
      </c>
    </row>
    <row r="68" spans="1:6" x14ac:dyDescent="0.2">
      <c r="A68">
        <v>6</v>
      </c>
      <c r="B68" t="s">
        <v>6</v>
      </c>
      <c r="C68">
        <v>8</v>
      </c>
      <c r="D68">
        <v>5.5969100130080562</v>
      </c>
      <c r="E68" t="s">
        <v>7</v>
      </c>
      <c r="F68" t="s">
        <v>12</v>
      </c>
    </row>
    <row r="69" spans="1:6" x14ac:dyDescent="0.2">
      <c r="A69">
        <v>6</v>
      </c>
      <c r="B69" t="s">
        <v>6</v>
      </c>
      <c r="C69">
        <v>9</v>
      </c>
      <c r="D69">
        <v>4.0457574905606748</v>
      </c>
      <c r="E69" t="s">
        <v>7</v>
      </c>
      <c r="F69" t="s">
        <v>12</v>
      </c>
    </row>
    <row r="70" spans="1:6" x14ac:dyDescent="0.2">
      <c r="A70">
        <v>6</v>
      </c>
      <c r="B70" t="s">
        <v>6</v>
      </c>
      <c r="C70">
        <v>10</v>
      </c>
      <c r="D70">
        <v>2.5</v>
      </c>
      <c r="E70" t="s">
        <v>7</v>
      </c>
      <c r="F70" t="s">
        <v>12</v>
      </c>
    </row>
    <row r="71" spans="1:6" x14ac:dyDescent="0.2">
      <c r="A71">
        <v>6</v>
      </c>
      <c r="B71" t="s">
        <v>6</v>
      </c>
      <c r="C71">
        <v>11</v>
      </c>
      <c r="D71">
        <v>0.95860731484177486</v>
      </c>
      <c r="E71" t="s">
        <v>7</v>
      </c>
      <c r="F71" t="s">
        <v>12</v>
      </c>
    </row>
    <row r="72" spans="1:6" x14ac:dyDescent="0.2">
      <c r="A72">
        <v>6</v>
      </c>
      <c r="B72" t="s">
        <v>6</v>
      </c>
      <c r="C72">
        <v>12</v>
      </c>
      <c r="D72">
        <v>-0.57918124604762489</v>
      </c>
      <c r="E72" t="s">
        <v>7</v>
      </c>
      <c r="F72" t="s">
        <v>12</v>
      </c>
    </row>
    <row r="73" spans="1:6" x14ac:dyDescent="0.2">
      <c r="A73">
        <v>7</v>
      </c>
      <c r="B73" t="s">
        <v>5</v>
      </c>
      <c r="C73">
        <v>1</v>
      </c>
      <c r="D73">
        <v>16</v>
      </c>
      <c r="E73" t="s">
        <v>13</v>
      </c>
      <c r="F73" t="s">
        <v>12</v>
      </c>
    </row>
    <row r="74" spans="1:6" x14ac:dyDescent="0.2">
      <c r="A74">
        <v>7</v>
      </c>
      <c r="B74" t="s">
        <v>5</v>
      </c>
      <c r="C74">
        <v>2</v>
      </c>
      <c r="D74">
        <v>15.198970004336019</v>
      </c>
      <c r="E74" t="s">
        <v>13</v>
      </c>
      <c r="F74" t="s">
        <v>12</v>
      </c>
    </row>
    <row r="75" spans="1:6" x14ac:dyDescent="0.2">
      <c r="A75">
        <v>7</v>
      </c>
      <c r="B75" t="s">
        <v>5</v>
      </c>
      <c r="C75">
        <v>3</v>
      </c>
      <c r="D75">
        <v>14.522878745280337</v>
      </c>
      <c r="E75" t="s">
        <v>13</v>
      </c>
      <c r="F75" t="s">
        <v>12</v>
      </c>
    </row>
    <row r="76" spans="1:6" x14ac:dyDescent="0.2">
      <c r="A76">
        <v>7</v>
      </c>
      <c r="B76" t="s">
        <v>5</v>
      </c>
      <c r="C76">
        <v>4</v>
      </c>
      <c r="D76">
        <v>13.897940008672037</v>
      </c>
      <c r="E76" t="s">
        <v>13</v>
      </c>
      <c r="F76" t="s">
        <v>12</v>
      </c>
    </row>
    <row r="77" spans="1:6" x14ac:dyDescent="0.2">
      <c r="A77">
        <v>7</v>
      </c>
      <c r="B77" t="s">
        <v>5</v>
      </c>
      <c r="C77">
        <v>5</v>
      </c>
      <c r="D77">
        <v>13.301029995663981</v>
      </c>
      <c r="E77" t="s">
        <v>13</v>
      </c>
      <c r="F77" t="s">
        <v>12</v>
      </c>
    </row>
    <row r="78" spans="1:6" x14ac:dyDescent="0.2">
      <c r="A78">
        <v>7</v>
      </c>
      <c r="B78" t="s">
        <v>5</v>
      </c>
      <c r="C78">
        <v>6</v>
      </c>
      <c r="D78">
        <v>12.721848749616356</v>
      </c>
      <c r="E78" t="s">
        <v>13</v>
      </c>
      <c r="F78" t="s">
        <v>12</v>
      </c>
    </row>
    <row r="79" spans="1:6" x14ac:dyDescent="0.2">
      <c r="A79">
        <v>7</v>
      </c>
      <c r="B79" t="s">
        <v>5</v>
      </c>
      <c r="C79">
        <v>7</v>
      </c>
      <c r="D79">
        <v>12.154901959985743</v>
      </c>
      <c r="E79" t="s">
        <v>13</v>
      </c>
      <c r="F79" t="s">
        <v>12</v>
      </c>
    </row>
    <row r="80" spans="1:6" x14ac:dyDescent="0.2">
      <c r="A80">
        <v>7</v>
      </c>
      <c r="B80" t="s">
        <v>5</v>
      </c>
      <c r="C80">
        <v>8</v>
      </c>
      <c r="D80">
        <v>11.596910013008056</v>
      </c>
      <c r="E80" t="s">
        <v>13</v>
      </c>
      <c r="F80" t="s">
        <v>12</v>
      </c>
    </row>
    <row r="81" spans="1:6" x14ac:dyDescent="0.2">
      <c r="A81">
        <v>7</v>
      </c>
      <c r="B81" t="s">
        <v>5</v>
      </c>
      <c r="C81">
        <v>9</v>
      </c>
      <c r="D81">
        <v>11.045757490560675</v>
      </c>
      <c r="E81" t="s">
        <v>13</v>
      </c>
      <c r="F81" t="s">
        <v>12</v>
      </c>
    </row>
    <row r="82" spans="1:6" x14ac:dyDescent="0.2">
      <c r="A82">
        <v>7</v>
      </c>
      <c r="B82" t="s">
        <v>5</v>
      </c>
      <c r="C82">
        <v>10</v>
      </c>
      <c r="D82">
        <v>10.5</v>
      </c>
      <c r="E82" t="s">
        <v>13</v>
      </c>
      <c r="F82" t="s">
        <v>12</v>
      </c>
    </row>
    <row r="83" spans="1:6" x14ac:dyDescent="0.2">
      <c r="A83">
        <v>7</v>
      </c>
      <c r="B83" t="s">
        <v>5</v>
      </c>
      <c r="C83">
        <v>11</v>
      </c>
      <c r="D83">
        <v>9.9586073148417746</v>
      </c>
      <c r="E83" t="s">
        <v>13</v>
      </c>
      <c r="F83" t="s">
        <v>12</v>
      </c>
    </row>
    <row r="84" spans="1:6" x14ac:dyDescent="0.2">
      <c r="A84">
        <v>7</v>
      </c>
      <c r="B84" t="s">
        <v>5</v>
      </c>
      <c r="C84">
        <v>12</v>
      </c>
      <c r="D84">
        <v>9.4208187539523749</v>
      </c>
      <c r="E84" t="s">
        <v>13</v>
      </c>
      <c r="F84" t="s">
        <v>12</v>
      </c>
    </row>
    <row r="85" spans="1:6" x14ac:dyDescent="0.2">
      <c r="A85">
        <v>8</v>
      </c>
      <c r="B85" t="s">
        <v>6</v>
      </c>
      <c r="C85">
        <v>1</v>
      </c>
      <c r="D85">
        <v>18</v>
      </c>
      <c r="E85" t="s">
        <v>13</v>
      </c>
      <c r="F85" t="s">
        <v>12</v>
      </c>
    </row>
    <row r="86" spans="1:6" x14ac:dyDescent="0.2">
      <c r="A86">
        <v>8</v>
      </c>
      <c r="B86" t="s">
        <v>6</v>
      </c>
      <c r="C86">
        <v>2</v>
      </c>
      <c r="D86">
        <v>16.498970004336019</v>
      </c>
      <c r="E86" t="s">
        <v>13</v>
      </c>
      <c r="F86" t="s">
        <v>12</v>
      </c>
    </row>
    <row r="87" spans="1:6" x14ac:dyDescent="0.2">
      <c r="A87">
        <v>8</v>
      </c>
      <c r="B87" t="s">
        <v>6</v>
      </c>
      <c r="C87">
        <v>3</v>
      </c>
      <c r="D87">
        <v>15.122878745280339</v>
      </c>
      <c r="E87" t="s">
        <v>13</v>
      </c>
      <c r="F87" t="s">
        <v>12</v>
      </c>
    </row>
    <row r="88" spans="1:6" x14ac:dyDescent="0.2">
      <c r="A88">
        <v>8</v>
      </c>
      <c r="B88" t="s">
        <v>6</v>
      </c>
      <c r="C88">
        <v>4</v>
      </c>
      <c r="D88">
        <v>13.79794000867204</v>
      </c>
      <c r="E88" t="s">
        <v>13</v>
      </c>
      <c r="F88" t="s">
        <v>12</v>
      </c>
    </row>
    <row r="89" spans="1:6" x14ac:dyDescent="0.2">
      <c r="A89">
        <v>8</v>
      </c>
      <c r="B89" t="s">
        <v>6</v>
      </c>
      <c r="C89">
        <v>5</v>
      </c>
      <c r="D89">
        <v>12.501029995663984</v>
      </c>
      <c r="E89" t="s">
        <v>13</v>
      </c>
      <c r="F89" t="s">
        <v>12</v>
      </c>
    </row>
    <row r="90" spans="1:6" x14ac:dyDescent="0.2">
      <c r="A90">
        <v>8</v>
      </c>
      <c r="B90" t="s">
        <v>6</v>
      </c>
      <c r="C90">
        <v>6</v>
      </c>
      <c r="D90">
        <v>11.22184874961636</v>
      </c>
      <c r="E90" t="s">
        <v>13</v>
      </c>
      <c r="F90" t="s">
        <v>12</v>
      </c>
    </row>
    <row r="91" spans="1:6" x14ac:dyDescent="0.2">
      <c r="A91">
        <v>8</v>
      </c>
      <c r="B91" t="s">
        <v>6</v>
      </c>
      <c r="C91">
        <v>7</v>
      </c>
      <c r="D91">
        <v>9.9549019599857473</v>
      </c>
      <c r="E91" t="s">
        <v>13</v>
      </c>
      <c r="F91" t="s">
        <v>12</v>
      </c>
    </row>
    <row r="92" spans="1:6" x14ac:dyDescent="0.2">
      <c r="A92">
        <v>8</v>
      </c>
      <c r="B92" t="s">
        <v>6</v>
      </c>
      <c r="C92">
        <v>8</v>
      </c>
      <c r="D92">
        <v>8.6969100130080612</v>
      </c>
      <c r="E92" t="s">
        <v>13</v>
      </c>
      <c r="F92" t="s">
        <v>12</v>
      </c>
    </row>
    <row r="93" spans="1:6" x14ac:dyDescent="0.2">
      <c r="A93">
        <v>8</v>
      </c>
      <c r="B93" t="s">
        <v>6</v>
      </c>
      <c r="C93">
        <v>9</v>
      </c>
      <c r="D93">
        <v>7.4457574905606805</v>
      </c>
      <c r="E93" t="s">
        <v>13</v>
      </c>
      <c r="F93" t="s">
        <v>12</v>
      </c>
    </row>
    <row r="94" spans="1:6" x14ac:dyDescent="0.2">
      <c r="A94">
        <v>8</v>
      </c>
      <c r="B94" t="s">
        <v>6</v>
      </c>
      <c r="C94">
        <v>10</v>
      </c>
      <c r="D94">
        <v>6.2000000000000055</v>
      </c>
      <c r="E94" t="s">
        <v>13</v>
      </c>
      <c r="F94" t="s">
        <v>12</v>
      </c>
    </row>
    <row r="95" spans="1:6" x14ac:dyDescent="0.2">
      <c r="A95">
        <v>8</v>
      </c>
      <c r="B95" t="s">
        <v>6</v>
      </c>
      <c r="C95">
        <v>11</v>
      </c>
      <c r="D95">
        <v>4.95860731484178</v>
      </c>
      <c r="E95" t="s">
        <v>13</v>
      </c>
      <c r="F95" t="s">
        <v>12</v>
      </c>
    </row>
    <row r="96" spans="1:6" x14ac:dyDescent="0.2">
      <c r="A96">
        <v>8</v>
      </c>
      <c r="B96" t="s">
        <v>6</v>
      </c>
      <c r="C96">
        <v>12</v>
      </c>
      <c r="D96">
        <v>3.72081875395238</v>
      </c>
      <c r="E96" t="s">
        <v>13</v>
      </c>
      <c r="F96" t="s">
        <v>12</v>
      </c>
    </row>
    <row r="97" spans="1:6" x14ac:dyDescent="0.2">
      <c r="A97">
        <v>1</v>
      </c>
      <c r="B97" t="s">
        <v>5</v>
      </c>
      <c r="C97">
        <f>IF(data!$B97&lt;&gt;data!$B96,1,C96+1)</f>
        <v>13</v>
      </c>
      <c r="D97">
        <v>25</v>
      </c>
      <c r="E97" t="s">
        <v>7</v>
      </c>
      <c r="F97" t="s">
        <v>14</v>
      </c>
    </row>
    <row r="98" spans="1:6" x14ac:dyDescent="0.2">
      <c r="A98">
        <f t="shared" ref="A98:A161" si="0">IF(B98=B97,A97,A97+1)</f>
        <v>1</v>
      </c>
      <c r="B98" t="s">
        <v>5</v>
      </c>
      <c r="C98">
        <f>IF(data!$B98&lt;&gt;data!$B97,1,C97+1)</f>
        <v>1</v>
      </c>
      <c r="D98">
        <f t="shared" ref="D98:D108" si="1">D97-1</f>
        <v>24</v>
      </c>
      <c r="E98" t="s">
        <v>7</v>
      </c>
      <c r="F98" t="s">
        <v>14</v>
      </c>
    </row>
    <row r="99" spans="1:6" x14ac:dyDescent="0.2">
      <c r="A99">
        <f t="shared" si="0"/>
        <v>1</v>
      </c>
      <c r="B99" t="s">
        <v>5</v>
      </c>
      <c r="C99">
        <f>IF(data!$B99&lt;&gt;data!$B98,1,C98+1)</f>
        <v>2</v>
      </c>
      <c r="D99">
        <f t="shared" si="1"/>
        <v>23</v>
      </c>
      <c r="E99" t="s">
        <v>7</v>
      </c>
      <c r="F99" t="s">
        <v>14</v>
      </c>
    </row>
    <row r="100" spans="1:6" x14ac:dyDescent="0.2">
      <c r="A100">
        <f t="shared" si="0"/>
        <v>1</v>
      </c>
      <c r="B100" t="s">
        <v>5</v>
      </c>
      <c r="C100">
        <f>IF(data!$B100&lt;&gt;data!$B99,1,C99+1)</f>
        <v>3</v>
      </c>
      <c r="D100">
        <f t="shared" si="1"/>
        <v>22</v>
      </c>
      <c r="E100" t="s">
        <v>7</v>
      </c>
      <c r="F100" t="s">
        <v>14</v>
      </c>
    </row>
    <row r="101" spans="1:6" x14ac:dyDescent="0.2">
      <c r="A101">
        <f t="shared" si="0"/>
        <v>1</v>
      </c>
      <c r="B101" t="s">
        <v>5</v>
      </c>
      <c r="C101">
        <f>IF(data!$B101&lt;&gt;data!$B100,1,C100+1)</f>
        <v>4</v>
      </c>
      <c r="D101">
        <f t="shared" si="1"/>
        <v>21</v>
      </c>
      <c r="E101" t="s">
        <v>7</v>
      </c>
      <c r="F101" t="s">
        <v>14</v>
      </c>
    </row>
    <row r="102" spans="1:6" x14ac:dyDescent="0.2">
      <c r="A102">
        <f t="shared" si="0"/>
        <v>1</v>
      </c>
      <c r="B102" t="s">
        <v>5</v>
      </c>
      <c r="C102">
        <f>IF(data!$B102&lt;&gt;data!$B101,1,C101+1)</f>
        <v>5</v>
      </c>
      <c r="D102">
        <f t="shared" si="1"/>
        <v>20</v>
      </c>
      <c r="E102" t="s">
        <v>7</v>
      </c>
      <c r="F102" t="s">
        <v>14</v>
      </c>
    </row>
    <row r="103" spans="1:6" x14ac:dyDescent="0.2">
      <c r="A103">
        <f t="shared" si="0"/>
        <v>1</v>
      </c>
      <c r="B103" t="s">
        <v>5</v>
      </c>
      <c r="C103">
        <f>IF(data!$B103&lt;&gt;data!$B102,1,C102+1)</f>
        <v>6</v>
      </c>
      <c r="D103">
        <f t="shared" si="1"/>
        <v>19</v>
      </c>
      <c r="E103" t="s">
        <v>7</v>
      </c>
      <c r="F103" t="s">
        <v>14</v>
      </c>
    </row>
    <row r="104" spans="1:6" x14ac:dyDescent="0.2">
      <c r="A104">
        <f t="shared" si="0"/>
        <v>1</v>
      </c>
      <c r="B104" t="s">
        <v>5</v>
      </c>
      <c r="C104">
        <f>IF(data!$B104&lt;&gt;data!$B103,1,C103+1)</f>
        <v>7</v>
      </c>
      <c r="D104">
        <f t="shared" si="1"/>
        <v>18</v>
      </c>
      <c r="E104" t="s">
        <v>7</v>
      </c>
      <c r="F104" t="s">
        <v>14</v>
      </c>
    </row>
    <row r="105" spans="1:6" x14ac:dyDescent="0.2">
      <c r="A105">
        <f t="shared" si="0"/>
        <v>1</v>
      </c>
      <c r="B105" t="s">
        <v>5</v>
      </c>
      <c r="C105">
        <f>IF(data!$B105&lt;&gt;data!$B104,1,C104+1)</f>
        <v>8</v>
      </c>
      <c r="D105">
        <f t="shared" si="1"/>
        <v>17</v>
      </c>
      <c r="E105" t="s">
        <v>7</v>
      </c>
      <c r="F105" t="s">
        <v>14</v>
      </c>
    </row>
    <row r="106" spans="1:6" x14ac:dyDescent="0.2">
      <c r="A106">
        <f t="shared" si="0"/>
        <v>1</v>
      </c>
      <c r="B106" t="s">
        <v>5</v>
      </c>
      <c r="C106">
        <f>IF(data!$B106&lt;&gt;data!$B105,1,C105+1)</f>
        <v>9</v>
      </c>
      <c r="D106">
        <f t="shared" si="1"/>
        <v>16</v>
      </c>
      <c r="E106" t="s">
        <v>7</v>
      </c>
      <c r="F106" t="s">
        <v>14</v>
      </c>
    </row>
    <row r="107" spans="1:6" x14ac:dyDescent="0.2">
      <c r="A107">
        <f t="shared" si="0"/>
        <v>1</v>
      </c>
      <c r="B107" t="s">
        <v>5</v>
      </c>
      <c r="C107">
        <f>IF(data!$B107&lt;&gt;data!$B106,1,C106+1)</f>
        <v>10</v>
      </c>
      <c r="D107">
        <f t="shared" si="1"/>
        <v>15</v>
      </c>
      <c r="E107" t="s">
        <v>7</v>
      </c>
      <c r="F107" t="s">
        <v>14</v>
      </c>
    </row>
    <row r="108" spans="1:6" x14ac:dyDescent="0.2">
      <c r="A108">
        <f t="shared" si="0"/>
        <v>1</v>
      </c>
      <c r="B108" t="s">
        <v>5</v>
      </c>
      <c r="C108">
        <f>IF(data!$B108&lt;&gt;data!$B107,1,C107+1)</f>
        <v>11</v>
      </c>
      <c r="D108">
        <f t="shared" si="1"/>
        <v>14</v>
      </c>
      <c r="E108" t="s">
        <v>7</v>
      </c>
      <c r="F108" t="s">
        <v>14</v>
      </c>
    </row>
    <row r="109" spans="1:6" x14ac:dyDescent="0.2">
      <c r="A109">
        <f t="shared" si="0"/>
        <v>2</v>
      </c>
      <c r="B109" t="s">
        <v>6</v>
      </c>
      <c r="C109">
        <f>IF(data!$B109&lt;&gt;data!$B108,1,C108+1)</f>
        <v>12</v>
      </c>
      <c r="D109">
        <f>D97+2</f>
        <v>27</v>
      </c>
      <c r="E109" t="s">
        <v>7</v>
      </c>
      <c r="F109" t="s">
        <v>14</v>
      </c>
    </row>
    <row r="110" spans="1:6" x14ac:dyDescent="0.2">
      <c r="A110">
        <f t="shared" si="0"/>
        <v>2</v>
      </c>
      <c r="B110" t="s">
        <v>6</v>
      </c>
      <c r="C110">
        <f>IF(data!$B110&lt;&gt;data!$B109,1,C109+1)</f>
        <v>1</v>
      </c>
      <c r="D110">
        <f t="shared" ref="D110:D120" si="2">D109-1.5</f>
        <v>25.5</v>
      </c>
      <c r="E110" t="s">
        <v>7</v>
      </c>
      <c r="F110" t="s">
        <v>14</v>
      </c>
    </row>
    <row r="111" spans="1:6" x14ac:dyDescent="0.2">
      <c r="A111">
        <f t="shared" si="0"/>
        <v>2</v>
      </c>
      <c r="B111" t="s">
        <v>6</v>
      </c>
      <c r="C111">
        <f>IF(data!$B111&lt;&gt;data!$B110,1,C110+1)</f>
        <v>2</v>
      </c>
      <c r="D111">
        <f t="shared" si="2"/>
        <v>24</v>
      </c>
      <c r="E111" t="s">
        <v>7</v>
      </c>
      <c r="F111" t="s">
        <v>14</v>
      </c>
    </row>
    <row r="112" spans="1:6" x14ac:dyDescent="0.2">
      <c r="A112">
        <f t="shared" si="0"/>
        <v>2</v>
      </c>
      <c r="B112" t="s">
        <v>6</v>
      </c>
      <c r="C112">
        <f>IF(data!$B112&lt;&gt;data!$B111,1,C111+1)</f>
        <v>3</v>
      </c>
      <c r="D112">
        <f t="shared" si="2"/>
        <v>22.5</v>
      </c>
      <c r="E112" t="s">
        <v>7</v>
      </c>
      <c r="F112" t="s">
        <v>14</v>
      </c>
    </row>
    <row r="113" spans="1:6" x14ac:dyDescent="0.2">
      <c r="A113">
        <f t="shared" si="0"/>
        <v>2</v>
      </c>
      <c r="B113" t="s">
        <v>6</v>
      </c>
      <c r="C113">
        <f>IF(data!$B113&lt;&gt;data!$B112,1,C112+1)</f>
        <v>4</v>
      </c>
      <c r="D113">
        <f t="shared" si="2"/>
        <v>21</v>
      </c>
      <c r="E113" t="s">
        <v>7</v>
      </c>
      <c r="F113" t="s">
        <v>14</v>
      </c>
    </row>
    <row r="114" spans="1:6" x14ac:dyDescent="0.2">
      <c r="A114">
        <f t="shared" si="0"/>
        <v>2</v>
      </c>
      <c r="B114" t="s">
        <v>6</v>
      </c>
      <c r="C114">
        <f>IF(data!$B114&lt;&gt;data!$B113,1,C113+1)</f>
        <v>5</v>
      </c>
      <c r="D114">
        <f t="shared" si="2"/>
        <v>19.5</v>
      </c>
      <c r="E114" t="s">
        <v>7</v>
      </c>
      <c r="F114" t="s">
        <v>14</v>
      </c>
    </row>
    <row r="115" spans="1:6" x14ac:dyDescent="0.2">
      <c r="A115">
        <f t="shared" si="0"/>
        <v>2</v>
      </c>
      <c r="B115" t="s">
        <v>6</v>
      </c>
      <c r="C115">
        <f>IF(data!$B115&lt;&gt;data!$B114,1,C114+1)</f>
        <v>6</v>
      </c>
      <c r="D115">
        <f t="shared" si="2"/>
        <v>18</v>
      </c>
      <c r="E115" t="s">
        <v>7</v>
      </c>
      <c r="F115" t="s">
        <v>14</v>
      </c>
    </row>
    <row r="116" spans="1:6" x14ac:dyDescent="0.2">
      <c r="A116">
        <f t="shared" si="0"/>
        <v>2</v>
      </c>
      <c r="B116" t="s">
        <v>6</v>
      </c>
      <c r="C116">
        <f>IF(data!$B116&lt;&gt;data!$B115,1,C115+1)</f>
        <v>7</v>
      </c>
      <c r="D116">
        <f t="shared" si="2"/>
        <v>16.5</v>
      </c>
      <c r="E116" t="s">
        <v>7</v>
      </c>
      <c r="F116" t="s">
        <v>14</v>
      </c>
    </row>
    <row r="117" spans="1:6" x14ac:dyDescent="0.2">
      <c r="A117">
        <f t="shared" si="0"/>
        <v>2</v>
      </c>
      <c r="B117" t="s">
        <v>6</v>
      </c>
      <c r="C117">
        <f>IF(data!$B117&lt;&gt;data!$B116,1,C116+1)</f>
        <v>8</v>
      </c>
      <c r="D117">
        <f t="shared" si="2"/>
        <v>15</v>
      </c>
      <c r="E117" t="s">
        <v>7</v>
      </c>
      <c r="F117" t="s">
        <v>14</v>
      </c>
    </row>
    <row r="118" spans="1:6" x14ac:dyDescent="0.2">
      <c r="A118">
        <f t="shared" si="0"/>
        <v>2</v>
      </c>
      <c r="B118" t="s">
        <v>6</v>
      </c>
      <c r="C118">
        <f>IF(data!$B118&lt;&gt;data!$B117,1,C117+1)</f>
        <v>9</v>
      </c>
      <c r="D118">
        <f t="shared" si="2"/>
        <v>13.5</v>
      </c>
      <c r="E118" t="s">
        <v>7</v>
      </c>
      <c r="F118" t="s">
        <v>14</v>
      </c>
    </row>
    <row r="119" spans="1:6" x14ac:dyDescent="0.2">
      <c r="A119">
        <f t="shared" si="0"/>
        <v>2</v>
      </c>
      <c r="B119" t="s">
        <v>6</v>
      </c>
      <c r="C119">
        <f>IF(data!$B119&lt;&gt;data!$B118,1,C118+1)</f>
        <v>10</v>
      </c>
      <c r="D119">
        <f t="shared" si="2"/>
        <v>12</v>
      </c>
      <c r="E119" t="s">
        <v>7</v>
      </c>
      <c r="F119" t="s">
        <v>14</v>
      </c>
    </row>
    <row r="120" spans="1:6" x14ac:dyDescent="0.2">
      <c r="A120">
        <f t="shared" si="0"/>
        <v>2</v>
      </c>
      <c r="B120" t="s">
        <v>6</v>
      </c>
      <c r="C120">
        <f>IF(data!$B120&lt;&gt;data!$B119,1,C119+1)</f>
        <v>11</v>
      </c>
      <c r="D120">
        <f t="shared" si="2"/>
        <v>10.5</v>
      </c>
      <c r="E120" t="s">
        <v>7</v>
      </c>
      <c r="F120" t="s">
        <v>14</v>
      </c>
    </row>
    <row r="121" spans="1:6" x14ac:dyDescent="0.2">
      <c r="A121">
        <f t="shared" si="0"/>
        <v>3</v>
      </c>
      <c r="B121" t="str">
        <f t="shared" ref="B121:B144" si="3">B97</f>
        <v>schizo</v>
      </c>
      <c r="C121">
        <f>IF(data!$B121&lt;&gt;data!$B120,1,C120+1)</f>
        <v>12</v>
      </c>
      <c r="D121">
        <f>D97+1</f>
        <v>26</v>
      </c>
      <c r="E121" t="s">
        <v>13</v>
      </c>
      <c r="F121" t="s">
        <v>14</v>
      </c>
    </row>
    <row r="122" spans="1:6" x14ac:dyDescent="0.2">
      <c r="A122">
        <f t="shared" si="0"/>
        <v>3</v>
      </c>
      <c r="B122" t="str">
        <f t="shared" si="3"/>
        <v>schizo</v>
      </c>
      <c r="C122">
        <f>IF(data!$B122&lt;&gt;data!$B121,1,C121+1)</f>
        <v>1</v>
      </c>
      <c r="D122">
        <f t="shared" ref="D122:D132" si="4">D121-0.5</f>
        <v>25.5</v>
      </c>
      <c r="E122" t="s">
        <v>13</v>
      </c>
      <c r="F122" t="s">
        <v>14</v>
      </c>
    </row>
    <row r="123" spans="1:6" x14ac:dyDescent="0.2">
      <c r="A123">
        <f t="shared" si="0"/>
        <v>3</v>
      </c>
      <c r="B123" t="str">
        <f t="shared" si="3"/>
        <v>schizo</v>
      </c>
      <c r="C123">
        <f>IF(data!$B123&lt;&gt;data!$B122,1,C122+1)</f>
        <v>2</v>
      </c>
      <c r="D123">
        <f t="shared" si="4"/>
        <v>25</v>
      </c>
      <c r="E123" t="s">
        <v>13</v>
      </c>
      <c r="F123" t="s">
        <v>14</v>
      </c>
    </row>
    <row r="124" spans="1:6" x14ac:dyDescent="0.2">
      <c r="A124">
        <f t="shared" si="0"/>
        <v>3</v>
      </c>
      <c r="B124" t="str">
        <f t="shared" si="3"/>
        <v>schizo</v>
      </c>
      <c r="C124">
        <f>IF(data!$B124&lt;&gt;data!$B123,1,C123+1)</f>
        <v>3</v>
      </c>
      <c r="D124">
        <f t="shared" si="4"/>
        <v>24.5</v>
      </c>
      <c r="E124" t="s">
        <v>13</v>
      </c>
      <c r="F124" t="s">
        <v>14</v>
      </c>
    </row>
    <row r="125" spans="1:6" x14ac:dyDescent="0.2">
      <c r="A125">
        <f t="shared" si="0"/>
        <v>3</v>
      </c>
      <c r="B125" t="str">
        <f t="shared" si="3"/>
        <v>schizo</v>
      </c>
      <c r="C125">
        <f>IF(data!$B125&lt;&gt;data!$B124,1,C124+1)</f>
        <v>4</v>
      </c>
      <c r="D125">
        <f t="shared" si="4"/>
        <v>24</v>
      </c>
      <c r="E125" t="s">
        <v>13</v>
      </c>
      <c r="F125" t="s">
        <v>14</v>
      </c>
    </row>
    <row r="126" spans="1:6" x14ac:dyDescent="0.2">
      <c r="A126">
        <f t="shared" si="0"/>
        <v>3</v>
      </c>
      <c r="B126" t="str">
        <f t="shared" si="3"/>
        <v>schizo</v>
      </c>
      <c r="C126">
        <f>IF(data!$B126&lt;&gt;data!$B125,1,C125+1)</f>
        <v>5</v>
      </c>
      <c r="D126">
        <f t="shared" si="4"/>
        <v>23.5</v>
      </c>
      <c r="E126" t="s">
        <v>13</v>
      </c>
      <c r="F126" t="s">
        <v>14</v>
      </c>
    </row>
    <row r="127" spans="1:6" x14ac:dyDescent="0.2">
      <c r="A127">
        <f t="shared" si="0"/>
        <v>3</v>
      </c>
      <c r="B127" t="str">
        <f t="shared" si="3"/>
        <v>schizo</v>
      </c>
      <c r="C127">
        <f>IF(data!$B127&lt;&gt;data!$B126,1,C126+1)</f>
        <v>6</v>
      </c>
      <c r="D127">
        <f t="shared" si="4"/>
        <v>23</v>
      </c>
      <c r="E127" t="s">
        <v>13</v>
      </c>
      <c r="F127" t="s">
        <v>14</v>
      </c>
    </row>
    <row r="128" spans="1:6" x14ac:dyDescent="0.2">
      <c r="A128">
        <f t="shared" si="0"/>
        <v>3</v>
      </c>
      <c r="B128" t="str">
        <f t="shared" si="3"/>
        <v>schizo</v>
      </c>
      <c r="C128">
        <f>IF(data!$B128&lt;&gt;data!$B127,1,C127+1)</f>
        <v>7</v>
      </c>
      <c r="D128">
        <f t="shared" si="4"/>
        <v>22.5</v>
      </c>
      <c r="E128" t="s">
        <v>13</v>
      </c>
      <c r="F128" t="s">
        <v>14</v>
      </c>
    </row>
    <row r="129" spans="1:6" x14ac:dyDescent="0.2">
      <c r="A129">
        <f t="shared" si="0"/>
        <v>3</v>
      </c>
      <c r="B129" t="str">
        <f t="shared" si="3"/>
        <v>schizo</v>
      </c>
      <c r="C129">
        <f>IF(data!$B129&lt;&gt;data!$B128,1,C128+1)</f>
        <v>8</v>
      </c>
      <c r="D129">
        <f t="shared" si="4"/>
        <v>22</v>
      </c>
      <c r="E129" t="s">
        <v>13</v>
      </c>
      <c r="F129" t="s">
        <v>14</v>
      </c>
    </row>
    <row r="130" spans="1:6" x14ac:dyDescent="0.2">
      <c r="A130">
        <f t="shared" si="0"/>
        <v>3</v>
      </c>
      <c r="B130" t="str">
        <f t="shared" si="3"/>
        <v>schizo</v>
      </c>
      <c r="C130">
        <f>IF(data!$B130&lt;&gt;data!$B129,1,C129+1)</f>
        <v>9</v>
      </c>
      <c r="D130">
        <f t="shared" si="4"/>
        <v>21.5</v>
      </c>
      <c r="E130" t="s">
        <v>13</v>
      </c>
      <c r="F130" t="s">
        <v>14</v>
      </c>
    </row>
    <row r="131" spans="1:6" x14ac:dyDescent="0.2">
      <c r="A131">
        <f t="shared" si="0"/>
        <v>3</v>
      </c>
      <c r="B131" t="str">
        <f t="shared" si="3"/>
        <v>schizo</v>
      </c>
      <c r="C131">
        <f>IF(data!$B131&lt;&gt;data!$B130,1,C130+1)</f>
        <v>10</v>
      </c>
      <c r="D131">
        <f t="shared" si="4"/>
        <v>21</v>
      </c>
      <c r="E131" t="s">
        <v>13</v>
      </c>
      <c r="F131" t="s">
        <v>14</v>
      </c>
    </row>
    <row r="132" spans="1:6" x14ac:dyDescent="0.2">
      <c r="A132">
        <f t="shared" si="0"/>
        <v>3</v>
      </c>
      <c r="B132" t="str">
        <f t="shared" si="3"/>
        <v>schizo</v>
      </c>
      <c r="C132">
        <f>IF(data!$B132&lt;&gt;data!$B131,1,C131+1)</f>
        <v>11</v>
      </c>
      <c r="D132">
        <f t="shared" si="4"/>
        <v>20.5</v>
      </c>
      <c r="E132" t="s">
        <v>13</v>
      </c>
      <c r="F132" t="s">
        <v>14</v>
      </c>
    </row>
    <row r="133" spans="1:6" x14ac:dyDescent="0.2">
      <c r="A133">
        <f t="shared" si="0"/>
        <v>4</v>
      </c>
      <c r="B133" t="str">
        <f t="shared" si="3"/>
        <v>dementia</v>
      </c>
      <c r="C133">
        <f>IF(data!$B133&lt;&gt;data!$B132,1,C132+1)</f>
        <v>12</v>
      </c>
      <c r="D133">
        <f>D109+1</f>
        <v>28</v>
      </c>
      <c r="E133" t="s">
        <v>13</v>
      </c>
      <c r="F133" t="s">
        <v>14</v>
      </c>
    </row>
    <row r="134" spans="1:6" x14ac:dyDescent="0.2">
      <c r="A134">
        <f t="shared" si="0"/>
        <v>4</v>
      </c>
      <c r="B134" t="str">
        <f t="shared" si="3"/>
        <v>dementia</v>
      </c>
      <c r="C134">
        <f>IF(data!$B134&lt;&gt;data!$B133,1,C133+1)</f>
        <v>1</v>
      </c>
      <c r="D134">
        <f t="shared" ref="D134:D144" si="5">D133-1.2</f>
        <v>26.8</v>
      </c>
      <c r="E134" t="s">
        <v>13</v>
      </c>
      <c r="F134" t="s">
        <v>14</v>
      </c>
    </row>
    <row r="135" spans="1:6" x14ac:dyDescent="0.2">
      <c r="A135">
        <f t="shared" si="0"/>
        <v>4</v>
      </c>
      <c r="B135" t="str">
        <f t="shared" si="3"/>
        <v>dementia</v>
      </c>
      <c r="C135">
        <f>IF(data!$B135&lt;&gt;data!$B134,1,C134+1)</f>
        <v>2</v>
      </c>
      <c r="D135">
        <f t="shared" si="5"/>
        <v>25.6</v>
      </c>
      <c r="E135" t="s">
        <v>13</v>
      </c>
      <c r="F135" t="s">
        <v>14</v>
      </c>
    </row>
    <row r="136" spans="1:6" x14ac:dyDescent="0.2">
      <c r="A136">
        <f t="shared" si="0"/>
        <v>4</v>
      </c>
      <c r="B136" t="str">
        <f t="shared" si="3"/>
        <v>dementia</v>
      </c>
      <c r="C136">
        <f>IF(data!$B136&lt;&gt;data!$B135,1,C135+1)</f>
        <v>3</v>
      </c>
      <c r="D136">
        <f t="shared" si="5"/>
        <v>24.400000000000002</v>
      </c>
      <c r="E136" t="s">
        <v>13</v>
      </c>
      <c r="F136" t="s">
        <v>14</v>
      </c>
    </row>
    <row r="137" spans="1:6" x14ac:dyDescent="0.2">
      <c r="A137">
        <f t="shared" si="0"/>
        <v>4</v>
      </c>
      <c r="B137" t="str">
        <f t="shared" si="3"/>
        <v>dementia</v>
      </c>
      <c r="C137">
        <f>IF(data!$B137&lt;&gt;data!$B136,1,C136+1)</f>
        <v>4</v>
      </c>
      <c r="D137">
        <f t="shared" si="5"/>
        <v>23.200000000000003</v>
      </c>
      <c r="E137" t="s">
        <v>13</v>
      </c>
      <c r="F137" t="s">
        <v>14</v>
      </c>
    </row>
    <row r="138" spans="1:6" x14ac:dyDescent="0.2">
      <c r="A138">
        <f t="shared" si="0"/>
        <v>4</v>
      </c>
      <c r="B138" t="str">
        <f t="shared" si="3"/>
        <v>dementia</v>
      </c>
      <c r="C138">
        <f>IF(data!$B138&lt;&gt;data!$B137,1,C137+1)</f>
        <v>5</v>
      </c>
      <c r="D138">
        <f t="shared" si="5"/>
        <v>22.000000000000004</v>
      </c>
      <c r="E138" t="s">
        <v>13</v>
      </c>
      <c r="F138" t="s">
        <v>14</v>
      </c>
    </row>
    <row r="139" spans="1:6" x14ac:dyDescent="0.2">
      <c r="A139">
        <f t="shared" si="0"/>
        <v>4</v>
      </c>
      <c r="B139" t="str">
        <f t="shared" si="3"/>
        <v>dementia</v>
      </c>
      <c r="C139">
        <f>IF(data!$B139&lt;&gt;data!$B138,1,C138+1)</f>
        <v>6</v>
      </c>
      <c r="D139">
        <f t="shared" si="5"/>
        <v>20.800000000000004</v>
      </c>
      <c r="E139" t="s">
        <v>13</v>
      </c>
      <c r="F139" t="s">
        <v>14</v>
      </c>
    </row>
    <row r="140" spans="1:6" x14ac:dyDescent="0.2">
      <c r="A140">
        <f t="shared" si="0"/>
        <v>4</v>
      </c>
      <c r="B140" t="str">
        <f t="shared" si="3"/>
        <v>dementia</v>
      </c>
      <c r="C140">
        <f>IF(data!$B140&lt;&gt;data!$B139,1,C139+1)</f>
        <v>7</v>
      </c>
      <c r="D140">
        <f t="shared" si="5"/>
        <v>19.600000000000005</v>
      </c>
      <c r="E140" t="s">
        <v>13</v>
      </c>
      <c r="F140" t="s">
        <v>14</v>
      </c>
    </row>
    <row r="141" spans="1:6" x14ac:dyDescent="0.2">
      <c r="A141">
        <f t="shared" si="0"/>
        <v>4</v>
      </c>
      <c r="B141" t="str">
        <f t="shared" si="3"/>
        <v>dementia</v>
      </c>
      <c r="C141">
        <f>IF(data!$B141&lt;&gt;data!$B140,1,C140+1)</f>
        <v>8</v>
      </c>
      <c r="D141">
        <f t="shared" si="5"/>
        <v>18.400000000000006</v>
      </c>
      <c r="E141" t="s">
        <v>13</v>
      </c>
      <c r="F141" t="s">
        <v>14</v>
      </c>
    </row>
    <row r="142" spans="1:6" x14ac:dyDescent="0.2">
      <c r="A142">
        <f t="shared" si="0"/>
        <v>4</v>
      </c>
      <c r="B142" t="str">
        <f t="shared" si="3"/>
        <v>dementia</v>
      </c>
      <c r="C142">
        <f>IF(data!$B142&lt;&gt;data!$B141,1,C141+1)</f>
        <v>9</v>
      </c>
      <c r="D142">
        <f t="shared" si="5"/>
        <v>17.200000000000006</v>
      </c>
      <c r="E142" t="s">
        <v>13</v>
      </c>
      <c r="F142" t="s">
        <v>14</v>
      </c>
    </row>
    <row r="143" spans="1:6" x14ac:dyDescent="0.2">
      <c r="A143">
        <f t="shared" si="0"/>
        <v>4</v>
      </c>
      <c r="B143" t="str">
        <f t="shared" si="3"/>
        <v>dementia</v>
      </c>
      <c r="C143">
        <f>IF(data!$B143&lt;&gt;data!$B142,1,C142+1)</f>
        <v>10</v>
      </c>
      <c r="D143">
        <f t="shared" si="5"/>
        <v>16.000000000000007</v>
      </c>
      <c r="E143" t="s">
        <v>13</v>
      </c>
      <c r="F143" t="s">
        <v>14</v>
      </c>
    </row>
    <row r="144" spans="1:6" x14ac:dyDescent="0.2">
      <c r="A144">
        <f t="shared" si="0"/>
        <v>4</v>
      </c>
      <c r="B144" t="str">
        <f t="shared" si="3"/>
        <v>dementia</v>
      </c>
      <c r="C144">
        <f>IF(data!$B144&lt;&gt;data!$B143,1,C143+1)</f>
        <v>11</v>
      </c>
      <c r="D144">
        <f t="shared" si="5"/>
        <v>14.800000000000008</v>
      </c>
      <c r="E144" t="s">
        <v>13</v>
      </c>
      <c r="F144" t="s">
        <v>14</v>
      </c>
    </row>
    <row r="145" spans="1:6" x14ac:dyDescent="0.2">
      <c r="A145">
        <f t="shared" si="0"/>
        <v>5</v>
      </c>
      <c r="B145" t="str">
        <f t="shared" ref="B145:B192" si="6">B97</f>
        <v>schizo</v>
      </c>
      <c r="C145">
        <f>IF(data!$B145&lt;&gt;data!$B144,1,C144+1)</f>
        <v>12</v>
      </c>
      <c r="D145" s="3">
        <f>IF(C97=1,D97,D97-LOG(C145))</f>
        <v>23.920818753952375</v>
      </c>
      <c r="E145" t="str">
        <f>E97</f>
        <v>male</v>
      </c>
      <c r="F145" t="s">
        <v>12</v>
      </c>
    </row>
    <row r="146" spans="1:6" x14ac:dyDescent="0.2">
      <c r="A146">
        <f t="shared" si="0"/>
        <v>5</v>
      </c>
      <c r="B146" t="str">
        <f t="shared" si="6"/>
        <v>schizo</v>
      </c>
      <c r="C146">
        <f>IF(data!$B146&lt;&gt;data!$B145,1,C145+1)</f>
        <v>1</v>
      </c>
      <c r="D146" s="3">
        <f t="shared" ref="D146:D192" si="7">IF(C98=1,D98,D98-LOG(C146))</f>
        <v>24</v>
      </c>
      <c r="E146" t="str">
        <f t="shared" ref="E146:E192" si="8">E98</f>
        <v>male</v>
      </c>
      <c r="F146" t="s">
        <v>12</v>
      </c>
    </row>
    <row r="147" spans="1:6" x14ac:dyDescent="0.2">
      <c r="A147">
        <f t="shared" si="0"/>
        <v>5</v>
      </c>
      <c r="B147" t="str">
        <f t="shared" si="6"/>
        <v>schizo</v>
      </c>
      <c r="C147">
        <f>IF(data!$B147&lt;&gt;data!$B146,1,C146+1)</f>
        <v>2</v>
      </c>
      <c r="D147" s="3">
        <f t="shared" si="7"/>
        <v>22.698970004336019</v>
      </c>
      <c r="E147" t="str">
        <f t="shared" si="8"/>
        <v>male</v>
      </c>
      <c r="F147" t="s">
        <v>12</v>
      </c>
    </row>
    <row r="148" spans="1:6" x14ac:dyDescent="0.2">
      <c r="A148">
        <f t="shared" si="0"/>
        <v>5</v>
      </c>
      <c r="B148" t="str">
        <f t="shared" si="6"/>
        <v>schizo</v>
      </c>
      <c r="C148">
        <f>IF(data!$B148&lt;&gt;data!$B147,1,C147+1)</f>
        <v>3</v>
      </c>
      <c r="D148" s="3">
        <f t="shared" si="7"/>
        <v>21.522878745280337</v>
      </c>
      <c r="E148" t="str">
        <f t="shared" si="8"/>
        <v>male</v>
      </c>
      <c r="F148" t="s">
        <v>12</v>
      </c>
    </row>
    <row r="149" spans="1:6" x14ac:dyDescent="0.2">
      <c r="A149">
        <f t="shared" si="0"/>
        <v>5</v>
      </c>
      <c r="B149" t="str">
        <f t="shared" si="6"/>
        <v>schizo</v>
      </c>
      <c r="C149">
        <f>IF(data!$B149&lt;&gt;data!$B148,1,C148+1)</f>
        <v>4</v>
      </c>
      <c r="D149" s="3">
        <f t="shared" si="7"/>
        <v>20.397940008672037</v>
      </c>
      <c r="E149" t="str">
        <f t="shared" si="8"/>
        <v>male</v>
      </c>
      <c r="F149" t="s">
        <v>12</v>
      </c>
    </row>
    <row r="150" spans="1:6" x14ac:dyDescent="0.2">
      <c r="A150">
        <f t="shared" si="0"/>
        <v>5</v>
      </c>
      <c r="B150" t="str">
        <f t="shared" si="6"/>
        <v>schizo</v>
      </c>
      <c r="C150">
        <f>IF(data!$B150&lt;&gt;data!$B149,1,C149+1)</f>
        <v>5</v>
      </c>
      <c r="D150" s="3">
        <f t="shared" si="7"/>
        <v>19.301029995663981</v>
      </c>
      <c r="E150" t="str">
        <f t="shared" si="8"/>
        <v>male</v>
      </c>
      <c r="F150" t="s">
        <v>12</v>
      </c>
    </row>
    <row r="151" spans="1:6" x14ac:dyDescent="0.2">
      <c r="A151">
        <f t="shared" si="0"/>
        <v>5</v>
      </c>
      <c r="B151" t="str">
        <f t="shared" si="6"/>
        <v>schizo</v>
      </c>
      <c r="C151">
        <f>IF(data!$B151&lt;&gt;data!$B150,1,C150+1)</f>
        <v>6</v>
      </c>
      <c r="D151" s="3">
        <f t="shared" si="7"/>
        <v>18.221848749616356</v>
      </c>
      <c r="E151" t="str">
        <f t="shared" si="8"/>
        <v>male</v>
      </c>
      <c r="F151" t="s">
        <v>12</v>
      </c>
    </row>
    <row r="152" spans="1:6" x14ac:dyDescent="0.2">
      <c r="A152">
        <f t="shared" si="0"/>
        <v>5</v>
      </c>
      <c r="B152" t="str">
        <f t="shared" si="6"/>
        <v>schizo</v>
      </c>
      <c r="C152">
        <f>IF(data!$B152&lt;&gt;data!$B151,1,C151+1)</f>
        <v>7</v>
      </c>
      <c r="D152" s="3">
        <f t="shared" si="7"/>
        <v>17.154901959985743</v>
      </c>
      <c r="E152" t="str">
        <f t="shared" si="8"/>
        <v>male</v>
      </c>
      <c r="F152" t="s">
        <v>12</v>
      </c>
    </row>
    <row r="153" spans="1:6" x14ac:dyDescent="0.2">
      <c r="A153">
        <f t="shared" si="0"/>
        <v>5</v>
      </c>
      <c r="B153" t="str">
        <f t="shared" si="6"/>
        <v>schizo</v>
      </c>
      <c r="C153">
        <f>IF(data!$B153&lt;&gt;data!$B152,1,C152+1)</f>
        <v>8</v>
      </c>
      <c r="D153" s="3">
        <f t="shared" si="7"/>
        <v>16.096910013008056</v>
      </c>
      <c r="E153" t="str">
        <f t="shared" si="8"/>
        <v>male</v>
      </c>
      <c r="F153" t="s">
        <v>12</v>
      </c>
    </row>
    <row r="154" spans="1:6" x14ac:dyDescent="0.2">
      <c r="A154">
        <f t="shared" si="0"/>
        <v>5</v>
      </c>
      <c r="B154" t="str">
        <f t="shared" si="6"/>
        <v>schizo</v>
      </c>
      <c r="C154">
        <f>IF(data!$B154&lt;&gt;data!$B153,1,C153+1)</f>
        <v>9</v>
      </c>
      <c r="D154" s="3">
        <f t="shared" si="7"/>
        <v>15.045757490560675</v>
      </c>
      <c r="E154" t="str">
        <f t="shared" si="8"/>
        <v>male</v>
      </c>
      <c r="F154" t="s">
        <v>12</v>
      </c>
    </row>
    <row r="155" spans="1:6" x14ac:dyDescent="0.2">
      <c r="A155">
        <f t="shared" si="0"/>
        <v>5</v>
      </c>
      <c r="B155" t="str">
        <f t="shared" si="6"/>
        <v>schizo</v>
      </c>
      <c r="C155">
        <f>IF(data!$B155&lt;&gt;data!$B154,1,C154+1)</f>
        <v>10</v>
      </c>
      <c r="D155" s="3">
        <f t="shared" si="7"/>
        <v>14</v>
      </c>
      <c r="E155" t="str">
        <f t="shared" si="8"/>
        <v>male</v>
      </c>
      <c r="F155" t="s">
        <v>12</v>
      </c>
    </row>
    <row r="156" spans="1:6" x14ac:dyDescent="0.2">
      <c r="A156">
        <f t="shared" si="0"/>
        <v>5</v>
      </c>
      <c r="B156" t="str">
        <f t="shared" si="6"/>
        <v>schizo</v>
      </c>
      <c r="C156">
        <f>IF(data!$B156&lt;&gt;data!$B155,1,C155+1)</f>
        <v>11</v>
      </c>
      <c r="D156" s="3">
        <f t="shared" si="7"/>
        <v>12.958607314841775</v>
      </c>
      <c r="E156" t="str">
        <f t="shared" si="8"/>
        <v>male</v>
      </c>
      <c r="F156" t="s">
        <v>12</v>
      </c>
    </row>
    <row r="157" spans="1:6" x14ac:dyDescent="0.2">
      <c r="A157">
        <f t="shared" si="0"/>
        <v>6</v>
      </c>
      <c r="B157" t="str">
        <f t="shared" si="6"/>
        <v>dementia</v>
      </c>
      <c r="C157">
        <f>IF(data!$B157&lt;&gt;data!$B156,1,C156+1)</f>
        <v>12</v>
      </c>
      <c r="D157" s="3">
        <f t="shared" si="7"/>
        <v>25.920818753952375</v>
      </c>
      <c r="E157" t="str">
        <f t="shared" si="8"/>
        <v>male</v>
      </c>
      <c r="F157" t="s">
        <v>12</v>
      </c>
    </row>
    <row r="158" spans="1:6" x14ac:dyDescent="0.2">
      <c r="A158">
        <f t="shared" si="0"/>
        <v>6</v>
      </c>
      <c r="B158" t="str">
        <f t="shared" si="6"/>
        <v>dementia</v>
      </c>
      <c r="C158">
        <f>IF(data!$B158&lt;&gt;data!$B157,1,C157+1)</f>
        <v>1</v>
      </c>
      <c r="D158" s="3">
        <f t="shared" si="7"/>
        <v>25.5</v>
      </c>
      <c r="E158" t="str">
        <f t="shared" si="8"/>
        <v>male</v>
      </c>
      <c r="F158" t="s">
        <v>12</v>
      </c>
    </row>
    <row r="159" spans="1:6" x14ac:dyDescent="0.2">
      <c r="A159">
        <f t="shared" si="0"/>
        <v>6</v>
      </c>
      <c r="B159" t="str">
        <f t="shared" si="6"/>
        <v>dementia</v>
      </c>
      <c r="C159">
        <f>IF(data!$B159&lt;&gt;data!$B158,1,C158+1)</f>
        <v>2</v>
      </c>
      <c r="D159" s="3">
        <f t="shared" si="7"/>
        <v>23.698970004336019</v>
      </c>
      <c r="E159" t="str">
        <f t="shared" si="8"/>
        <v>male</v>
      </c>
      <c r="F159" t="s">
        <v>12</v>
      </c>
    </row>
    <row r="160" spans="1:6" x14ac:dyDescent="0.2">
      <c r="A160">
        <f t="shared" si="0"/>
        <v>6</v>
      </c>
      <c r="B160" t="str">
        <f t="shared" si="6"/>
        <v>dementia</v>
      </c>
      <c r="C160">
        <f>IF(data!$B160&lt;&gt;data!$B159,1,C159+1)</f>
        <v>3</v>
      </c>
      <c r="D160" s="3">
        <f t="shared" si="7"/>
        <v>22.022878745280337</v>
      </c>
      <c r="E160" t="str">
        <f t="shared" si="8"/>
        <v>male</v>
      </c>
      <c r="F160" t="s">
        <v>12</v>
      </c>
    </row>
    <row r="161" spans="1:6" x14ac:dyDescent="0.2">
      <c r="A161">
        <f t="shared" si="0"/>
        <v>6</v>
      </c>
      <c r="B161" t="str">
        <f t="shared" si="6"/>
        <v>dementia</v>
      </c>
      <c r="C161">
        <f>IF(data!$B161&lt;&gt;data!$B160,1,C160+1)</f>
        <v>4</v>
      </c>
      <c r="D161" s="3">
        <f t="shared" si="7"/>
        <v>20.397940008672037</v>
      </c>
      <c r="E161" t="str">
        <f t="shared" si="8"/>
        <v>male</v>
      </c>
      <c r="F161" t="s">
        <v>12</v>
      </c>
    </row>
    <row r="162" spans="1:6" x14ac:dyDescent="0.2">
      <c r="A162">
        <f t="shared" ref="A162:A192" si="9">IF(B162=B161,A161,A161+1)</f>
        <v>6</v>
      </c>
      <c r="B162" t="str">
        <f t="shared" si="6"/>
        <v>dementia</v>
      </c>
      <c r="C162">
        <f>IF(data!$B162&lt;&gt;data!$B161,1,C161+1)</f>
        <v>5</v>
      </c>
      <c r="D162" s="3">
        <f t="shared" si="7"/>
        <v>18.801029995663981</v>
      </c>
      <c r="E162" t="str">
        <f t="shared" si="8"/>
        <v>male</v>
      </c>
      <c r="F162" t="s">
        <v>12</v>
      </c>
    </row>
    <row r="163" spans="1:6" x14ac:dyDescent="0.2">
      <c r="A163">
        <f t="shared" si="9"/>
        <v>6</v>
      </c>
      <c r="B163" t="str">
        <f t="shared" si="6"/>
        <v>dementia</v>
      </c>
      <c r="C163">
        <f>IF(data!$B163&lt;&gt;data!$B162,1,C162+1)</f>
        <v>6</v>
      </c>
      <c r="D163" s="3">
        <f t="shared" si="7"/>
        <v>17.221848749616356</v>
      </c>
      <c r="E163" t="str">
        <f t="shared" si="8"/>
        <v>male</v>
      </c>
      <c r="F163" t="s">
        <v>12</v>
      </c>
    </row>
    <row r="164" spans="1:6" x14ac:dyDescent="0.2">
      <c r="A164">
        <f t="shared" si="9"/>
        <v>6</v>
      </c>
      <c r="B164" t="str">
        <f t="shared" si="6"/>
        <v>dementia</v>
      </c>
      <c r="C164">
        <f>IF(data!$B164&lt;&gt;data!$B163,1,C163+1)</f>
        <v>7</v>
      </c>
      <c r="D164" s="3">
        <f t="shared" si="7"/>
        <v>15.654901959985743</v>
      </c>
      <c r="E164" t="str">
        <f t="shared" si="8"/>
        <v>male</v>
      </c>
      <c r="F164" t="s">
        <v>12</v>
      </c>
    </row>
    <row r="165" spans="1:6" x14ac:dyDescent="0.2">
      <c r="A165">
        <f t="shared" si="9"/>
        <v>6</v>
      </c>
      <c r="B165" t="str">
        <f t="shared" si="6"/>
        <v>dementia</v>
      </c>
      <c r="C165">
        <f>IF(data!$B165&lt;&gt;data!$B164,1,C164+1)</f>
        <v>8</v>
      </c>
      <c r="D165" s="3">
        <f t="shared" si="7"/>
        <v>14.096910013008056</v>
      </c>
      <c r="E165" t="str">
        <f t="shared" si="8"/>
        <v>male</v>
      </c>
      <c r="F165" t="s">
        <v>12</v>
      </c>
    </row>
    <row r="166" spans="1:6" x14ac:dyDescent="0.2">
      <c r="A166">
        <f t="shared" si="9"/>
        <v>6</v>
      </c>
      <c r="B166" t="str">
        <f t="shared" si="6"/>
        <v>dementia</v>
      </c>
      <c r="C166">
        <f>IF(data!$B166&lt;&gt;data!$B165,1,C165+1)</f>
        <v>9</v>
      </c>
      <c r="D166" s="3">
        <f t="shared" si="7"/>
        <v>12.545757490560675</v>
      </c>
      <c r="E166" t="str">
        <f t="shared" si="8"/>
        <v>male</v>
      </c>
      <c r="F166" t="s">
        <v>12</v>
      </c>
    </row>
    <row r="167" spans="1:6" x14ac:dyDescent="0.2">
      <c r="A167">
        <f t="shared" si="9"/>
        <v>6</v>
      </c>
      <c r="B167" t="str">
        <f t="shared" si="6"/>
        <v>dementia</v>
      </c>
      <c r="C167">
        <f>IF(data!$B167&lt;&gt;data!$B166,1,C166+1)</f>
        <v>10</v>
      </c>
      <c r="D167" s="3">
        <f t="shared" si="7"/>
        <v>11</v>
      </c>
      <c r="E167" t="str">
        <f t="shared" si="8"/>
        <v>male</v>
      </c>
      <c r="F167" t="s">
        <v>12</v>
      </c>
    </row>
    <row r="168" spans="1:6" x14ac:dyDescent="0.2">
      <c r="A168">
        <f t="shared" si="9"/>
        <v>6</v>
      </c>
      <c r="B168" t="str">
        <f t="shared" si="6"/>
        <v>dementia</v>
      </c>
      <c r="C168">
        <f>IF(data!$B168&lt;&gt;data!$B167,1,C167+1)</f>
        <v>11</v>
      </c>
      <c r="D168" s="3">
        <f t="shared" si="7"/>
        <v>9.4586073148417746</v>
      </c>
      <c r="E168" t="str">
        <f t="shared" si="8"/>
        <v>male</v>
      </c>
      <c r="F168" t="s">
        <v>12</v>
      </c>
    </row>
    <row r="169" spans="1:6" x14ac:dyDescent="0.2">
      <c r="A169">
        <f t="shared" si="9"/>
        <v>7</v>
      </c>
      <c r="B169" t="str">
        <f t="shared" si="6"/>
        <v>schizo</v>
      </c>
      <c r="C169">
        <f>IF(data!$B169&lt;&gt;data!$B168,1,C168+1)</f>
        <v>12</v>
      </c>
      <c r="D169" s="3">
        <f t="shared" si="7"/>
        <v>24.920818753952375</v>
      </c>
      <c r="E169" t="str">
        <f t="shared" si="8"/>
        <v>female</v>
      </c>
      <c r="F169" t="s">
        <v>12</v>
      </c>
    </row>
    <row r="170" spans="1:6" x14ac:dyDescent="0.2">
      <c r="A170">
        <f t="shared" si="9"/>
        <v>7</v>
      </c>
      <c r="B170" t="str">
        <f t="shared" si="6"/>
        <v>schizo</v>
      </c>
      <c r="C170">
        <f>IF(data!$B170&lt;&gt;data!$B169,1,C169+1)</f>
        <v>1</v>
      </c>
      <c r="D170" s="3">
        <f t="shared" si="7"/>
        <v>25.5</v>
      </c>
      <c r="E170" t="str">
        <f t="shared" si="8"/>
        <v>female</v>
      </c>
      <c r="F170" t="s">
        <v>12</v>
      </c>
    </row>
    <row r="171" spans="1:6" x14ac:dyDescent="0.2">
      <c r="A171">
        <f t="shared" si="9"/>
        <v>7</v>
      </c>
      <c r="B171" t="str">
        <f t="shared" si="6"/>
        <v>schizo</v>
      </c>
      <c r="C171">
        <f>IF(data!$B171&lt;&gt;data!$B170,1,C170+1)</f>
        <v>2</v>
      </c>
      <c r="D171" s="3">
        <f t="shared" si="7"/>
        <v>24.698970004336019</v>
      </c>
      <c r="E171" t="str">
        <f t="shared" si="8"/>
        <v>female</v>
      </c>
      <c r="F171" t="s">
        <v>12</v>
      </c>
    </row>
    <row r="172" spans="1:6" x14ac:dyDescent="0.2">
      <c r="A172">
        <f t="shared" si="9"/>
        <v>7</v>
      </c>
      <c r="B172" t="str">
        <f t="shared" si="6"/>
        <v>schizo</v>
      </c>
      <c r="C172">
        <f>IF(data!$B172&lt;&gt;data!$B171,1,C171+1)</f>
        <v>3</v>
      </c>
      <c r="D172" s="3">
        <f t="shared" si="7"/>
        <v>24.022878745280337</v>
      </c>
      <c r="E172" t="str">
        <f t="shared" si="8"/>
        <v>female</v>
      </c>
      <c r="F172" t="s">
        <v>12</v>
      </c>
    </row>
    <row r="173" spans="1:6" x14ac:dyDescent="0.2">
      <c r="A173">
        <f t="shared" si="9"/>
        <v>7</v>
      </c>
      <c r="B173" t="str">
        <f t="shared" si="6"/>
        <v>schizo</v>
      </c>
      <c r="C173">
        <f>IF(data!$B173&lt;&gt;data!$B172,1,C172+1)</f>
        <v>4</v>
      </c>
      <c r="D173" s="3">
        <f t="shared" si="7"/>
        <v>23.397940008672037</v>
      </c>
      <c r="E173" t="str">
        <f t="shared" si="8"/>
        <v>female</v>
      </c>
      <c r="F173" t="s">
        <v>12</v>
      </c>
    </row>
    <row r="174" spans="1:6" x14ac:dyDescent="0.2">
      <c r="A174">
        <f t="shared" si="9"/>
        <v>7</v>
      </c>
      <c r="B174" t="str">
        <f t="shared" si="6"/>
        <v>schizo</v>
      </c>
      <c r="C174">
        <f>IF(data!$B174&lt;&gt;data!$B173,1,C173+1)</f>
        <v>5</v>
      </c>
      <c r="D174" s="3">
        <f t="shared" si="7"/>
        <v>22.801029995663981</v>
      </c>
      <c r="E174" t="str">
        <f t="shared" si="8"/>
        <v>female</v>
      </c>
      <c r="F174" t="s">
        <v>12</v>
      </c>
    </row>
    <row r="175" spans="1:6" x14ac:dyDescent="0.2">
      <c r="A175">
        <f t="shared" si="9"/>
        <v>7</v>
      </c>
      <c r="B175" t="str">
        <f t="shared" si="6"/>
        <v>schizo</v>
      </c>
      <c r="C175">
        <f>IF(data!$B175&lt;&gt;data!$B174,1,C174+1)</f>
        <v>6</v>
      </c>
      <c r="D175" s="3">
        <f t="shared" si="7"/>
        <v>22.221848749616356</v>
      </c>
      <c r="E175" t="str">
        <f t="shared" si="8"/>
        <v>female</v>
      </c>
      <c r="F175" t="s">
        <v>12</v>
      </c>
    </row>
    <row r="176" spans="1:6" x14ac:dyDescent="0.2">
      <c r="A176">
        <f t="shared" si="9"/>
        <v>7</v>
      </c>
      <c r="B176" t="str">
        <f t="shared" si="6"/>
        <v>schizo</v>
      </c>
      <c r="C176">
        <f>IF(data!$B176&lt;&gt;data!$B175,1,C175+1)</f>
        <v>7</v>
      </c>
      <c r="D176" s="3">
        <f t="shared" si="7"/>
        <v>21.654901959985743</v>
      </c>
      <c r="E176" t="str">
        <f t="shared" si="8"/>
        <v>female</v>
      </c>
      <c r="F176" t="s">
        <v>12</v>
      </c>
    </row>
    <row r="177" spans="1:6" x14ac:dyDescent="0.2">
      <c r="A177">
        <f t="shared" si="9"/>
        <v>7</v>
      </c>
      <c r="B177" t="str">
        <f t="shared" si="6"/>
        <v>schizo</v>
      </c>
      <c r="C177">
        <f>IF(data!$B177&lt;&gt;data!$B176,1,C176+1)</f>
        <v>8</v>
      </c>
      <c r="D177" s="3">
        <f t="shared" si="7"/>
        <v>21.096910013008056</v>
      </c>
      <c r="E177" t="str">
        <f t="shared" si="8"/>
        <v>female</v>
      </c>
      <c r="F177" t="s">
        <v>12</v>
      </c>
    </row>
    <row r="178" spans="1:6" x14ac:dyDescent="0.2">
      <c r="A178">
        <f t="shared" si="9"/>
        <v>7</v>
      </c>
      <c r="B178" t="str">
        <f t="shared" si="6"/>
        <v>schizo</v>
      </c>
      <c r="C178">
        <f>IF(data!$B178&lt;&gt;data!$B177,1,C177+1)</f>
        <v>9</v>
      </c>
      <c r="D178" s="3">
        <f t="shared" si="7"/>
        <v>20.545757490560675</v>
      </c>
      <c r="E178" t="str">
        <f t="shared" si="8"/>
        <v>female</v>
      </c>
      <c r="F178" t="s">
        <v>12</v>
      </c>
    </row>
    <row r="179" spans="1:6" x14ac:dyDescent="0.2">
      <c r="A179">
        <f t="shared" si="9"/>
        <v>7</v>
      </c>
      <c r="B179" t="str">
        <f t="shared" si="6"/>
        <v>schizo</v>
      </c>
      <c r="C179">
        <f>IF(data!$B179&lt;&gt;data!$B178,1,C178+1)</f>
        <v>10</v>
      </c>
      <c r="D179" s="3">
        <f t="shared" si="7"/>
        <v>20</v>
      </c>
      <c r="E179" t="str">
        <f t="shared" si="8"/>
        <v>female</v>
      </c>
      <c r="F179" t="s">
        <v>12</v>
      </c>
    </row>
    <row r="180" spans="1:6" x14ac:dyDescent="0.2">
      <c r="A180">
        <f t="shared" si="9"/>
        <v>7</v>
      </c>
      <c r="B180" t="str">
        <f t="shared" si="6"/>
        <v>schizo</v>
      </c>
      <c r="C180">
        <f>IF(data!$B180&lt;&gt;data!$B179,1,C179+1)</f>
        <v>11</v>
      </c>
      <c r="D180" s="3">
        <f t="shared" si="7"/>
        <v>19.458607314841775</v>
      </c>
      <c r="E180" t="str">
        <f t="shared" si="8"/>
        <v>female</v>
      </c>
      <c r="F180" t="s">
        <v>12</v>
      </c>
    </row>
    <row r="181" spans="1:6" x14ac:dyDescent="0.2">
      <c r="A181">
        <f t="shared" si="9"/>
        <v>8</v>
      </c>
      <c r="B181" t="str">
        <f t="shared" si="6"/>
        <v>dementia</v>
      </c>
      <c r="C181">
        <f>IF(data!$B181&lt;&gt;data!$B180,1,C180+1)</f>
        <v>12</v>
      </c>
      <c r="D181" s="3">
        <f t="shared" si="7"/>
        <v>26.920818753952375</v>
      </c>
      <c r="E181" t="str">
        <f t="shared" si="8"/>
        <v>female</v>
      </c>
      <c r="F181" t="s">
        <v>12</v>
      </c>
    </row>
    <row r="182" spans="1:6" x14ac:dyDescent="0.2">
      <c r="A182">
        <f t="shared" si="9"/>
        <v>8</v>
      </c>
      <c r="B182" t="str">
        <f t="shared" si="6"/>
        <v>dementia</v>
      </c>
      <c r="C182">
        <f>IF(data!$B182&lt;&gt;data!$B181,1,C181+1)</f>
        <v>1</v>
      </c>
      <c r="D182" s="3">
        <f t="shared" si="7"/>
        <v>26.8</v>
      </c>
      <c r="E182" t="str">
        <f t="shared" si="8"/>
        <v>female</v>
      </c>
      <c r="F182" t="s">
        <v>12</v>
      </c>
    </row>
    <row r="183" spans="1:6" x14ac:dyDescent="0.2">
      <c r="A183">
        <f t="shared" si="9"/>
        <v>8</v>
      </c>
      <c r="B183" t="str">
        <f t="shared" si="6"/>
        <v>dementia</v>
      </c>
      <c r="C183">
        <f>IF(data!$B183&lt;&gt;data!$B182,1,C182+1)</f>
        <v>2</v>
      </c>
      <c r="D183" s="3">
        <f t="shared" si="7"/>
        <v>25.29897000433602</v>
      </c>
      <c r="E183" t="str">
        <f t="shared" si="8"/>
        <v>female</v>
      </c>
      <c r="F183" t="s">
        <v>12</v>
      </c>
    </row>
    <row r="184" spans="1:6" x14ac:dyDescent="0.2">
      <c r="A184">
        <f t="shared" si="9"/>
        <v>8</v>
      </c>
      <c r="B184" t="str">
        <f t="shared" si="6"/>
        <v>dementia</v>
      </c>
      <c r="C184">
        <f>IF(data!$B184&lt;&gt;data!$B183,1,C183+1)</f>
        <v>3</v>
      </c>
      <c r="D184" s="3">
        <f t="shared" si="7"/>
        <v>23.92287874528034</v>
      </c>
      <c r="E184" t="str">
        <f t="shared" si="8"/>
        <v>female</v>
      </c>
      <c r="F184" t="s">
        <v>12</v>
      </c>
    </row>
    <row r="185" spans="1:6" x14ac:dyDescent="0.2">
      <c r="A185">
        <f t="shared" si="9"/>
        <v>8</v>
      </c>
      <c r="B185" t="str">
        <f t="shared" si="6"/>
        <v>dementia</v>
      </c>
      <c r="C185">
        <f>IF(data!$B185&lt;&gt;data!$B184,1,C184+1)</f>
        <v>4</v>
      </c>
      <c r="D185" s="3">
        <f t="shared" si="7"/>
        <v>22.59794000867204</v>
      </c>
      <c r="E185" t="str">
        <f t="shared" si="8"/>
        <v>female</v>
      </c>
      <c r="F185" t="s">
        <v>12</v>
      </c>
    </row>
    <row r="186" spans="1:6" x14ac:dyDescent="0.2">
      <c r="A186">
        <f t="shared" si="9"/>
        <v>8</v>
      </c>
      <c r="B186" t="str">
        <f t="shared" si="6"/>
        <v>dementia</v>
      </c>
      <c r="C186">
        <f>IF(data!$B186&lt;&gt;data!$B185,1,C185+1)</f>
        <v>5</v>
      </c>
      <c r="D186" s="3">
        <f t="shared" si="7"/>
        <v>21.301029995663985</v>
      </c>
      <c r="E186" t="str">
        <f t="shared" si="8"/>
        <v>female</v>
      </c>
      <c r="F186" t="s">
        <v>12</v>
      </c>
    </row>
    <row r="187" spans="1:6" x14ac:dyDescent="0.2">
      <c r="A187">
        <f t="shared" si="9"/>
        <v>8</v>
      </c>
      <c r="B187" t="str">
        <f t="shared" si="6"/>
        <v>dementia</v>
      </c>
      <c r="C187">
        <f>IF(data!$B187&lt;&gt;data!$B186,1,C186+1)</f>
        <v>6</v>
      </c>
      <c r="D187" s="3">
        <f t="shared" si="7"/>
        <v>20.02184874961636</v>
      </c>
      <c r="E187" t="str">
        <f t="shared" si="8"/>
        <v>female</v>
      </c>
      <c r="F187" t="s">
        <v>12</v>
      </c>
    </row>
    <row r="188" spans="1:6" x14ac:dyDescent="0.2">
      <c r="A188">
        <f t="shared" si="9"/>
        <v>8</v>
      </c>
      <c r="B188" t="str">
        <f t="shared" si="6"/>
        <v>dementia</v>
      </c>
      <c r="C188">
        <f>IF(data!$B188&lt;&gt;data!$B187,1,C187+1)</f>
        <v>7</v>
      </c>
      <c r="D188" s="3">
        <f t="shared" si="7"/>
        <v>18.754901959985748</v>
      </c>
      <c r="E188" t="str">
        <f t="shared" si="8"/>
        <v>female</v>
      </c>
      <c r="F188" t="s">
        <v>12</v>
      </c>
    </row>
    <row r="189" spans="1:6" x14ac:dyDescent="0.2">
      <c r="A189">
        <f t="shared" si="9"/>
        <v>8</v>
      </c>
      <c r="B189" t="str">
        <f t="shared" si="6"/>
        <v>dementia</v>
      </c>
      <c r="C189">
        <f>IF(data!$B189&lt;&gt;data!$B188,1,C188+1)</f>
        <v>8</v>
      </c>
      <c r="D189" s="3">
        <f t="shared" si="7"/>
        <v>17.496910013008062</v>
      </c>
      <c r="E189" t="str">
        <f t="shared" si="8"/>
        <v>female</v>
      </c>
      <c r="F189" t="s">
        <v>12</v>
      </c>
    </row>
    <row r="190" spans="1:6" x14ac:dyDescent="0.2">
      <c r="A190">
        <f t="shared" si="9"/>
        <v>8</v>
      </c>
      <c r="B190" t="str">
        <f t="shared" si="6"/>
        <v>dementia</v>
      </c>
      <c r="C190">
        <f>IF(data!$B190&lt;&gt;data!$B189,1,C189+1)</f>
        <v>9</v>
      </c>
      <c r="D190" s="3">
        <f t="shared" si="7"/>
        <v>16.245757490560681</v>
      </c>
      <c r="E190" t="str">
        <f t="shared" si="8"/>
        <v>female</v>
      </c>
      <c r="F190" t="s">
        <v>12</v>
      </c>
    </row>
    <row r="191" spans="1:6" x14ac:dyDescent="0.2">
      <c r="A191">
        <f t="shared" si="9"/>
        <v>8</v>
      </c>
      <c r="B191" t="str">
        <f t="shared" si="6"/>
        <v>dementia</v>
      </c>
      <c r="C191">
        <f>IF(data!$B191&lt;&gt;data!$B190,1,C190+1)</f>
        <v>10</v>
      </c>
      <c r="D191" s="3">
        <f t="shared" si="7"/>
        <v>15.000000000000007</v>
      </c>
      <c r="E191" t="str">
        <f t="shared" si="8"/>
        <v>female</v>
      </c>
      <c r="F191" t="s">
        <v>12</v>
      </c>
    </row>
    <row r="192" spans="1:6" x14ac:dyDescent="0.2">
      <c r="A192">
        <f t="shared" si="9"/>
        <v>8</v>
      </c>
      <c r="B192" t="str">
        <f t="shared" si="6"/>
        <v>dementia</v>
      </c>
      <c r="C192">
        <f>IF(data!$B192&lt;&gt;data!$B191,1,C191+1)</f>
        <v>11</v>
      </c>
      <c r="D192" s="3">
        <f t="shared" si="7"/>
        <v>13.758607314841782</v>
      </c>
      <c r="E192" t="str">
        <f t="shared" si="8"/>
        <v>female</v>
      </c>
      <c r="F192" t="s">
        <v>12</v>
      </c>
    </row>
    <row r="193" spans="1:6" x14ac:dyDescent="0.2">
      <c r="A193">
        <v>1</v>
      </c>
      <c r="B193" t="s">
        <v>5</v>
      </c>
      <c r="C193">
        <v>1</v>
      </c>
      <c r="D193">
        <v>24</v>
      </c>
      <c r="E193" t="s">
        <v>7</v>
      </c>
      <c r="F193" t="s">
        <v>14</v>
      </c>
    </row>
    <row r="194" spans="1:6" x14ac:dyDescent="0.2">
      <c r="A194">
        <v>1</v>
      </c>
      <c r="B194" t="s">
        <v>5</v>
      </c>
      <c r="C194">
        <v>2</v>
      </c>
      <c r="D194">
        <v>23</v>
      </c>
      <c r="E194" t="s">
        <v>7</v>
      </c>
      <c r="F194" t="s">
        <v>14</v>
      </c>
    </row>
    <row r="195" spans="1:6" x14ac:dyDescent="0.2">
      <c r="A195">
        <v>1</v>
      </c>
      <c r="B195" t="s">
        <v>5</v>
      </c>
      <c r="C195">
        <v>3</v>
      </c>
      <c r="D195">
        <v>22</v>
      </c>
      <c r="E195" t="s">
        <v>7</v>
      </c>
      <c r="F195" t="s">
        <v>14</v>
      </c>
    </row>
    <row r="196" spans="1:6" x14ac:dyDescent="0.2">
      <c r="A196">
        <v>1</v>
      </c>
      <c r="B196" t="s">
        <v>5</v>
      </c>
      <c r="C196">
        <v>4</v>
      </c>
      <c r="D196">
        <v>21</v>
      </c>
      <c r="E196" t="s">
        <v>7</v>
      </c>
      <c r="F196" t="s">
        <v>14</v>
      </c>
    </row>
    <row r="197" spans="1:6" x14ac:dyDescent="0.2">
      <c r="A197">
        <v>1</v>
      </c>
      <c r="B197" t="s">
        <v>5</v>
      </c>
      <c r="C197">
        <v>5</v>
      </c>
      <c r="D197">
        <v>20</v>
      </c>
      <c r="E197" t="s">
        <v>7</v>
      </c>
      <c r="F197" t="s">
        <v>14</v>
      </c>
    </row>
    <row r="198" spans="1:6" x14ac:dyDescent="0.2">
      <c r="A198">
        <v>1</v>
      </c>
      <c r="B198" t="s">
        <v>5</v>
      </c>
      <c r="C198">
        <v>6</v>
      </c>
      <c r="D198">
        <v>19</v>
      </c>
      <c r="E198" t="s">
        <v>7</v>
      </c>
      <c r="F198" t="s">
        <v>14</v>
      </c>
    </row>
    <row r="199" spans="1:6" x14ac:dyDescent="0.2">
      <c r="A199">
        <v>1</v>
      </c>
      <c r="B199" t="s">
        <v>5</v>
      </c>
      <c r="C199">
        <v>7</v>
      </c>
      <c r="D199">
        <v>18</v>
      </c>
      <c r="E199" t="s">
        <v>7</v>
      </c>
      <c r="F199" t="s">
        <v>14</v>
      </c>
    </row>
    <row r="200" spans="1:6" x14ac:dyDescent="0.2">
      <c r="A200">
        <v>1</v>
      </c>
      <c r="B200" t="s">
        <v>5</v>
      </c>
      <c r="C200">
        <v>8</v>
      </c>
      <c r="D200">
        <v>17</v>
      </c>
      <c r="E200" t="s">
        <v>7</v>
      </c>
      <c r="F200" t="s">
        <v>14</v>
      </c>
    </row>
    <row r="201" spans="1:6" x14ac:dyDescent="0.2">
      <c r="A201">
        <v>1</v>
      </c>
      <c r="B201" t="s">
        <v>5</v>
      </c>
      <c r="C201">
        <v>9</v>
      </c>
      <c r="D201">
        <v>16</v>
      </c>
      <c r="E201" t="s">
        <v>7</v>
      </c>
      <c r="F201" t="s">
        <v>14</v>
      </c>
    </row>
    <row r="202" spans="1:6" x14ac:dyDescent="0.2">
      <c r="A202">
        <v>1</v>
      </c>
      <c r="B202" t="s">
        <v>5</v>
      </c>
      <c r="C202">
        <v>10</v>
      </c>
      <c r="D202">
        <v>15</v>
      </c>
      <c r="E202" t="s">
        <v>7</v>
      </c>
      <c r="F202" t="s">
        <v>14</v>
      </c>
    </row>
    <row r="203" spans="1:6" x14ac:dyDescent="0.2">
      <c r="A203">
        <v>1</v>
      </c>
      <c r="B203" t="s">
        <v>5</v>
      </c>
      <c r="C203">
        <v>11</v>
      </c>
      <c r="D203">
        <v>14</v>
      </c>
      <c r="E203" t="s">
        <v>7</v>
      </c>
      <c r="F203" t="s">
        <v>14</v>
      </c>
    </row>
    <row r="204" spans="1:6" x14ac:dyDescent="0.2">
      <c r="A204">
        <v>1</v>
      </c>
      <c r="B204" t="s">
        <v>5</v>
      </c>
      <c r="C204">
        <v>12</v>
      </c>
      <c r="D204">
        <v>13</v>
      </c>
      <c r="E204" t="s">
        <v>7</v>
      </c>
      <c r="F204" t="s">
        <v>14</v>
      </c>
    </row>
    <row r="205" spans="1:6" x14ac:dyDescent="0.2">
      <c r="A205">
        <v>2</v>
      </c>
      <c r="B205" t="s">
        <v>6</v>
      </c>
      <c r="C205">
        <v>1</v>
      </c>
      <c r="D205">
        <v>26</v>
      </c>
      <c r="E205" t="s">
        <v>7</v>
      </c>
      <c r="F205" t="s">
        <v>14</v>
      </c>
    </row>
    <row r="206" spans="1:6" x14ac:dyDescent="0.2">
      <c r="A206">
        <v>2</v>
      </c>
      <c r="B206" t="s">
        <v>6</v>
      </c>
      <c r="C206">
        <v>2</v>
      </c>
      <c r="D206">
        <v>24.5</v>
      </c>
      <c r="E206" t="s">
        <v>7</v>
      </c>
      <c r="F206" t="s">
        <v>14</v>
      </c>
    </row>
    <row r="207" spans="1:6" x14ac:dyDescent="0.2">
      <c r="A207">
        <v>2</v>
      </c>
      <c r="B207" t="s">
        <v>6</v>
      </c>
      <c r="C207">
        <v>3</v>
      </c>
      <c r="D207">
        <v>23</v>
      </c>
      <c r="E207" t="s">
        <v>7</v>
      </c>
      <c r="F207" t="s">
        <v>14</v>
      </c>
    </row>
    <row r="208" spans="1:6" x14ac:dyDescent="0.2">
      <c r="A208">
        <v>2</v>
      </c>
      <c r="B208" t="s">
        <v>6</v>
      </c>
      <c r="C208">
        <v>4</v>
      </c>
      <c r="D208">
        <v>21.5</v>
      </c>
      <c r="E208" t="s">
        <v>7</v>
      </c>
      <c r="F208" t="s">
        <v>14</v>
      </c>
    </row>
    <row r="209" spans="1:6" x14ac:dyDescent="0.2">
      <c r="A209">
        <v>2</v>
      </c>
      <c r="B209" t="s">
        <v>6</v>
      </c>
      <c r="C209">
        <v>5</v>
      </c>
      <c r="D209">
        <v>20</v>
      </c>
      <c r="E209" t="s">
        <v>7</v>
      </c>
      <c r="F209" t="s">
        <v>14</v>
      </c>
    </row>
    <row r="210" spans="1:6" x14ac:dyDescent="0.2">
      <c r="A210">
        <v>2</v>
      </c>
      <c r="B210" t="s">
        <v>6</v>
      </c>
      <c r="C210">
        <v>6</v>
      </c>
      <c r="D210">
        <v>18.5</v>
      </c>
      <c r="E210" t="s">
        <v>7</v>
      </c>
      <c r="F210" t="s">
        <v>14</v>
      </c>
    </row>
    <row r="211" spans="1:6" x14ac:dyDescent="0.2">
      <c r="A211">
        <v>2</v>
      </c>
      <c r="B211" t="s">
        <v>6</v>
      </c>
      <c r="C211">
        <v>7</v>
      </c>
      <c r="D211">
        <v>17</v>
      </c>
      <c r="E211" t="s">
        <v>7</v>
      </c>
      <c r="F211" t="s">
        <v>14</v>
      </c>
    </row>
    <row r="212" spans="1:6" x14ac:dyDescent="0.2">
      <c r="A212">
        <v>2</v>
      </c>
      <c r="B212" t="s">
        <v>6</v>
      </c>
      <c r="C212">
        <v>8</v>
      </c>
      <c r="D212">
        <v>15.5</v>
      </c>
      <c r="E212" t="s">
        <v>7</v>
      </c>
      <c r="F212" t="s">
        <v>14</v>
      </c>
    </row>
    <row r="213" spans="1:6" x14ac:dyDescent="0.2">
      <c r="A213">
        <v>2</v>
      </c>
      <c r="B213" t="s">
        <v>6</v>
      </c>
      <c r="C213">
        <v>9</v>
      </c>
      <c r="D213">
        <v>14</v>
      </c>
      <c r="E213" t="s">
        <v>7</v>
      </c>
      <c r="F213" t="s">
        <v>14</v>
      </c>
    </row>
    <row r="214" spans="1:6" x14ac:dyDescent="0.2">
      <c r="A214">
        <v>2</v>
      </c>
      <c r="B214" t="s">
        <v>6</v>
      </c>
      <c r="C214">
        <v>10</v>
      </c>
      <c r="D214">
        <v>12.5</v>
      </c>
      <c r="E214" t="s">
        <v>7</v>
      </c>
      <c r="F214" t="s">
        <v>14</v>
      </c>
    </row>
    <row r="215" spans="1:6" x14ac:dyDescent="0.2">
      <c r="A215">
        <v>2</v>
      </c>
      <c r="B215" t="s">
        <v>6</v>
      </c>
      <c r="C215">
        <v>11</v>
      </c>
      <c r="D215">
        <v>11</v>
      </c>
      <c r="E215" t="s">
        <v>7</v>
      </c>
      <c r="F215" t="s">
        <v>14</v>
      </c>
    </row>
    <row r="216" spans="1:6" x14ac:dyDescent="0.2">
      <c r="A216">
        <v>2</v>
      </c>
      <c r="B216" t="s">
        <v>6</v>
      </c>
      <c r="C216">
        <v>12</v>
      </c>
      <c r="D216">
        <v>9.5</v>
      </c>
      <c r="E216" t="s">
        <v>7</v>
      </c>
      <c r="F216" t="s">
        <v>14</v>
      </c>
    </row>
    <row r="217" spans="1:6" x14ac:dyDescent="0.2">
      <c r="A217">
        <v>3</v>
      </c>
      <c r="B217" t="s">
        <v>5</v>
      </c>
      <c r="C217">
        <v>1</v>
      </c>
      <c r="D217">
        <v>25</v>
      </c>
      <c r="E217" t="s">
        <v>13</v>
      </c>
      <c r="F217" t="s">
        <v>14</v>
      </c>
    </row>
    <row r="218" spans="1:6" x14ac:dyDescent="0.2">
      <c r="A218">
        <v>3</v>
      </c>
      <c r="B218" t="s">
        <v>5</v>
      </c>
      <c r="C218">
        <v>2</v>
      </c>
      <c r="D218">
        <v>24.5</v>
      </c>
      <c r="E218" t="s">
        <v>13</v>
      </c>
      <c r="F218" t="s">
        <v>14</v>
      </c>
    </row>
    <row r="219" spans="1:6" x14ac:dyDescent="0.2">
      <c r="A219">
        <v>3</v>
      </c>
      <c r="B219" t="s">
        <v>5</v>
      </c>
      <c r="C219">
        <v>3</v>
      </c>
      <c r="D219">
        <v>24</v>
      </c>
      <c r="E219" t="s">
        <v>13</v>
      </c>
      <c r="F219" t="s">
        <v>14</v>
      </c>
    </row>
    <row r="220" spans="1:6" x14ac:dyDescent="0.2">
      <c r="A220">
        <v>3</v>
      </c>
      <c r="B220" t="s">
        <v>5</v>
      </c>
      <c r="C220">
        <v>4</v>
      </c>
      <c r="D220">
        <v>23.5</v>
      </c>
      <c r="E220" t="s">
        <v>13</v>
      </c>
      <c r="F220" t="s">
        <v>14</v>
      </c>
    </row>
    <row r="221" spans="1:6" x14ac:dyDescent="0.2">
      <c r="A221">
        <v>3</v>
      </c>
      <c r="B221" t="s">
        <v>5</v>
      </c>
      <c r="C221">
        <v>5</v>
      </c>
      <c r="D221">
        <v>23</v>
      </c>
      <c r="E221" t="s">
        <v>13</v>
      </c>
      <c r="F221" t="s">
        <v>14</v>
      </c>
    </row>
    <row r="222" spans="1:6" x14ac:dyDescent="0.2">
      <c r="A222">
        <v>3</v>
      </c>
      <c r="B222" t="s">
        <v>5</v>
      </c>
      <c r="C222">
        <v>6</v>
      </c>
      <c r="D222">
        <v>22.5</v>
      </c>
      <c r="E222" t="s">
        <v>13</v>
      </c>
      <c r="F222" t="s">
        <v>14</v>
      </c>
    </row>
    <row r="223" spans="1:6" x14ac:dyDescent="0.2">
      <c r="A223">
        <v>3</v>
      </c>
      <c r="B223" t="s">
        <v>5</v>
      </c>
      <c r="C223">
        <v>7</v>
      </c>
      <c r="D223">
        <v>22</v>
      </c>
      <c r="E223" t="s">
        <v>13</v>
      </c>
      <c r="F223" t="s">
        <v>14</v>
      </c>
    </row>
    <row r="224" spans="1:6" x14ac:dyDescent="0.2">
      <c r="A224">
        <v>3</v>
      </c>
      <c r="B224" t="s">
        <v>5</v>
      </c>
      <c r="C224">
        <v>8</v>
      </c>
      <c r="D224">
        <v>21.5</v>
      </c>
      <c r="E224" t="s">
        <v>13</v>
      </c>
      <c r="F224" t="s">
        <v>14</v>
      </c>
    </row>
    <row r="225" spans="1:6" x14ac:dyDescent="0.2">
      <c r="A225">
        <v>3</v>
      </c>
      <c r="B225" t="s">
        <v>5</v>
      </c>
      <c r="C225">
        <v>9</v>
      </c>
      <c r="D225">
        <v>21</v>
      </c>
      <c r="E225" t="s">
        <v>13</v>
      </c>
      <c r="F225" t="s">
        <v>14</v>
      </c>
    </row>
    <row r="226" spans="1:6" x14ac:dyDescent="0.2">
      <c r="A226">
        <v>3</v>
      </c>
      <c r="B226" t="s">
        <v>5</v>
      </c>
      <c r="C226">
        <v>10</v>
      </c>
      <c r="D226">
        <v>20.5</v>
      </c>
      <c r="E226" t="s">
        <v>13</v>
      </c>
      <c r="F226" t="s">
        <v>14</v>
      </c>
    </row>
    <row r="227" spans="1:6" x14ac:dyDescent="0.2">
      <c r="A227">
        <v>3</v>
      </c>
      <c r="B227" t="s">
        <v>5</v>
      </c>
      <c r="C227">
        <v>11</v>
      </c>
      <c r="D227">
        <v>20</v>
      </c>
      <c r="E227" t="s">
        <v>13</v>
      </c>
      <c r="F227" t="s">
        <v>14</v>
      </c>
    </row>
    <row r="228" spans="1:6" x14ac:dyDescent="0.2">
      <c r="A228">
        <v>3</v>
      </c>
      <c r="B228" t="s">
        <v>5</v>
      </c>
      <c r="C228">
        <v>12</v>
      </c>
      <c r="D228">
        <v>19.5</v>
      </c>
      <c r="E228" t="s">
        <v>13</v>
      </c>
      <c r="F228" t="s">
        <v>14</v>
      </c>
    </row>
    <row r="229" spans="1:6" x14ac:dyDescent="0.2">
      <c r="A229">
        <v>4</v>
      </c>
      <c r="B229" t="s">
        <v>6</v>
      </c>
      <c r="C229">
        <v>1</v>
      </c>
      <c r="D229">
        <v>27</v>
      </c>
      <c r="E229" t="s">
        <v>13</v>
      </c>
      <c r="F229" t="s">
        <v>14</v>
      </c>
    </row>
    <row r="230" spans="1:6" x14ac:dyDescent="0.2">
      <c r="A230">
        <v>4</v>
      </c>
      <c r="B230" t="s">
        <v>6</v>
      </c>
      <c r="C230">
        <v>2</v>
      </c>
      <c r="D230">
        <v>25.8</v>
      </c>
      <c r="E230" t="s">
        <v>13</v>
      </c>
      <c r="F230" t="s">
        <v>14</v>
      </c>
    </row>
    <row r="231" spans="1:6" x14ac:dyDescent="0.2">
      <c r="A231">
        <v>4</v>
      </c>
      <c r="B231" t="s">
        <v>6</v>
      </c>
      <c r="C231">
        <v>3</v>
      </c>
      <c r="D231">
        <v>24.6</v>
      </c>
      <c r="E231" t="s">
        <v>13</v>
      </c>
      <c r="F231" t="s">
        <v>14</v>
      </c>
    </row>
    <row r="232" spans="1:6" x14ac:dyDescent="0.2">
      <c r="A232">
        <v>4</v>
      </c>
      <c r="B232" t="s">
        <v>6</v>
      </c>
      <c r="C232">
        <v>4</v>
      </c>
      <c r="D232">
        <v>23.400000000000002</v>
      </c>
      <c r="E232" t="s">
        <v>13</v>
      </c>
      <c r="F232" t="s">
        <v>14</v>
      </c>
    </row>
    <row r="233" spans="1:6" x14ac:dyDescent="0.2">
      <c r="A233">
        <v>4</v>
      </c>
      <c r="B233" t="s">
        <v>6</v>
      </c>
      <c r="C233">
        <v>5</v>
      </c>
      <c r="D233">
        <v>22.200000000000003</v>
      </c>
      <c r="E233" t="s">
        <v>13</v>
      </c>
      <c r="F233" t="s">
        <v>14</v>
      </c>
    </row>
    <row r="234" spans="1:6" x14ac:dyDescent="0.2">
      <c r="A234">
        <v>4</v>
      </c>
      <c r="B234" t="s">
        <v>6</v>
      </c>
      <c r="C234">
        <v>6</v>
      </c>
      <c r="D234">
        <v>21.000000000000004</v>
      </c>
      <c r="E234" t="s">
        <v>13</v>
      </c>
      <c r="F234" t="s">
        <v>14</v>
      </c>
    </row>
    <row r="235" spans="1:6" x14ac:dyDescent="0.2">
      <c r="A235">
        <v>4</v>
      </c>
      <c r="B235" t="s">
        <v>6</v>
      </c>
      <c r="C235">
        <v>7</v>
      </c>
      <c r="D235">
        <v>19.800000000000004</v>
      </c>
      <c r="E235" t="s">
        <v>13</v>
      </c>
      <c r="F235" t="s">
        <v>14</v>
      </c>
    </row>
    <row r="236" spans="1:6" x14ac:dyDescent="0.2">
      <c r="A236">
        <v>4</v>
      </c>
      <c r="B236" t="s">
        <v>6</v>
      </c>
      <c r="C236">
        <v>8</v>
      </c>
      <c r="D236">
        <v>18.600000000000005</v>
      </c>
      <c r="E236" t="s">
        <v>13</v>
      </c>
      <c r="F236" t="s">
        <v>14</v>
      </c>
    </row>
    <row r="237" spans="1:6" x14ac:dyDescent="0.2">
      <c r="A237">
        <v>4</v>
      </c>
      <c r="B237" t="s">
        <v>6</v>
      </c>
      <c r="C237">
        <v>9</v>
      </c>
      <c r="D237">
        <v>17.400000000000006</v>
      </c>
      <c r="E237" t="s">
        <v>13</v>
      </c>
      <c r="F237" t="s">
        <v>14</v>
      </c>
    </row>
    <row r="238" spans="1:6" x14ac:dyDescent="0.2">
      <c r="A238">
        <v>4</v>
      </c>
      <c r="B238" t="s">
        <v>6</v>
      </c>
      <c r="C238">
        <v>10</v>
      </c>
      <c r="D238">
        <v>16.200000000000006</v>
      </c>
      <c r="E238" t="s">
        <v>13</v>
      </c>
      <c r="F238" t="s">
        <v>14</v>
      </c>
    </row>
    <row r="239" spans="1:6" x14ac:dyDescent="0.2">
      <c r="A239">
        <v>4</v>
      </c>
      <c r="B239" t="s">
        <v>6</v>
      </c>
      <c r="C239">
        <v>11</v>
      </c>
      <c r="D239">
        <v>15.000000000000007</v>
      </c>
      <c r="E239" t="s">
        <v>13</v>
      </c>
      <c r="F239" t="s">
        <v>14</v>
      </c>
    </row>
    <row r="240" spans="1:6" x14ac:dyDescent="0.2">
      <c r="A240">
        <v>4</v>
      </c>
      <c r="B240" t="s">
        <v>6</v>
      </c>
      <c r="C240">
        <v>12</v>
      </c>
      <c r="D240">
        <v>13.800000000000008</v>
      </c>
      <c r="E240" t="s">
        <v>13</v>
      </c>
      <c r="F240" t="s">
        <v>14</v>
      </c>
    </row>
    <row r="241" spans="1:6" x14ac:dyDescent="0.2">
      <c r="A241">
        <v>5</v>
      </c>
      <c r="B241" t="s">
        <v>5</v>
      </c>
      <c r="C241">
        <v>1</v>
      </c>
      <c r="D241">
        <v>24</v>
      </c>
      <c r="E241" t="s">
        <v>7</v>
      </c>
      <c r="F241" t="s">
        <v>12</v>
      </c>
    </row>
    <row r="242" spans="1:6" x14ac:dyDescent="0.2">
      <c r="A242">
        <v>5</v>
      </c>
      <c r="B242" t="s">
        <v>5</v>
      </c>
      <c r="C242">
        <v>2</v>
      </c>
      <c r="D242">
        <v>22.698970004336019</v>
      </c>
      <c r="E242" t="s">
        <v>7</v>
      </c>
      <c r="F242" t="s">
        <v>12</v>
      </c>
    </row>
    <row r="243" spans="1:6" x14ac:dyDescent="0.2">
      <c r="A243">
        <v>5</v>
      </c>
      <c r="B243" t="s">
        <v>5</v>
      </c>
      <c r="C243">
        <v>3</v>
      </c>
      <c r="D243">
        <v>21.522878745280337</v>
      </c>
      <c r="E243" t="s">
        <v>7</v>
      </c>
      <c r="F243" t="s">
        <v>12</v>
      </c>
    </row>
    <row r="244" spans="1:6" x14ac:dyDescent="0.2">
      <c r="A244">
        <v>5</v>
      </c>
      <c r="B244" t="s">
        <v>5</v>
      </c>
      <c r="C244">
        <v>4</v>
      </c>
      <c r="D244">
        <v>20.397940008672037</v>
      </c>
      <c r="E244" t="s">
        <v>7</v>
      </c>
      <c r="F244" t="s">
        <v>12</v>
      </c>
    </row>
    <row r="245" spans="1:6" x14ac:dyDescent="0.2">
      <c r="A245">
        <v>5</v>
      </c>
      <c r="B245" t="s">
        <v>5</v>
      </c>
      <c r="C245">
        <v>5</v>
      </c>
      <c r="D245">
        <v>19.301029995663981</v>
      </c>
      <c r="E245" t="s">
        <v>7</v>
      </c>
      <c r="F245" t="s">
        <v>12</v>
      </c>
    </row>
    <row r="246" spans="1:6" x14ac:dyDescent="0.2">
      <c r="A246">
        <v>5</v>
      </c>
      <c r="B246" t="s">
        <v>5</v>
      </c>
      <c r="C246">
        <v>6</v>
      </c>
      <c r="D246">
        <v>18.221848749616356</v>
      </c>
      <c r="E246" t="s">
        <v>7</v>
      </c>
      <c r="F246" t="s">
        <v>12</v>
      </c>
    </row>
    <row r="247" spans="1:6" x14ac:dyDescent="0.2">
      <c r="A247">
        <v>5</v>
      </c>
      <c r="B247" t="s">
        <v>5</v>
      </c>
      <c r="C247">
        <v>7</v>
      </c>
      <c r="D247">
        <v>17.154901959985743</v>
      </c>
      <c r="E247" t="s">
        <v>7</v>
      </c>
      <c r="F247" t="s">
        <v>12</v>
      </c>
    </row>
    <row r="248" spans="1:6" x14ac:dyDescent="0.2">
      <c r="A248">
        <v>5</v>
      </c>
      <c r="B248" t="s">
        <v>5</v>
      </c>
      <c r="C248">
        <v>8</v>
      </c>
      <c r="D248">
        <v>16.096910013008056</v>
      </c>
      <c r="E248" t="s">
        <v>7</v>
      </c>
      <c r="F248" t="s">
        <v>12</v>
      </c>
    </row>
    <row r="249" spans="1:6" x14ac:dyDescent="0.2">
      <c r="A249">
        <v>5</v>
      </c>
      <c r="B249" t="s">
        <v>5</v>
      </c>
      <c r="C249">
        <v>9</v>
      </c>
      <c r="D249">
        <v>15.045757490560675</v>
      </c>
      <c r="E249" t="s">
        <v>7</v>
      </c>
      <c r="F249" t="s">
        <v>12</v>
      </c>
    </row>
    <row r="250" spans="1:6" x14ac:dyDescent="0.2">
      <c r="A250">
        <v>5</v>
      </c>
      <c r="B250" t="s">
        <v>5</v>
      </c>
      <c r="C250">
        <v>10</v>
      </c>
      <c r="D250">
        <v>14</v>
      </c>
      <c r="E250" t="s">
        <v>7</v>
      </c>
      <c r="F250" t="s">
        <v>12</v>
      </c>
    </row>
    <row r="251" spans="1:6" x14ac:dyDescent="0.2">
      <c r="A251">
        <v>5</v>
      </c>
      <c r="B251" t="s">
        <v>5</v>
      </c>
      <c r="C251">
        <v>11</v>
      </c>
      <c r="D251">
        <v>12.958607314841775</v>
      </c>
      <c r="E251" t="s">
        <v>7</v>
      </c>
      <c r="F251" t="s">
        <v>12</v>
      </c>
    </row>
    <row r="252" spans="1:6" x14ac:dyDescent="0.2">
      <c r="A252">
        <v>5</v>
      </c>
      <c r="B252" t="s">
        <v>5</v>
      </c>
      <c r="C252">
        <v>12</v>
      </c>
      <c r="D252">
        <v>11.920818753952375</v>
      </c>
      <c r="E252" t="s">
        <v>7</v>
      </c>
      <c r="F252" t="s">
        <v>12</v>
      </c>
    </row>
    <row r="253" spans="1:6" x14ac:dyDescent="0.2">
      <c r="A253">
        <v>6</v>
      </c>
      <c r="B253" t="s">
        <v>6</v>
      </c>
      <c r="C253">
        <v>1</v>
      </c>
      <c r="D253">
        <v>26</v>
      </c>
      <c r="E253" t="s">
        <v>7</v>
      </c>
      <c r="F253" t="s">
        <v>12</v>
      </c>
    </row>
    <row r="254" spans="1:6" x14ac:dyDescent="0.2">
      <c r="A254">
        <v>6</v>
      </c>
      <c r="B254" t="s">
        <v>6</v>
      </c>
      <c r="C254">
        <v>2</v>
      </c>
      <c r="D254">
        <v>24.198970004336019</v>
      </c>
      <c r="E254" t="s">
        <v>7</v>
      </c>
      <c r="F254" t="s">
        <v>12</v>
      </c>
    </row>
    <row r="255" spans="1:6" x14ac:dyDescent="0.2">
      <c r="A255">
        <v>6</v>
      </c>
      <c r="B255" t="s">
        <v>6</v>
      </c>
      <c r="C255">
        <v>3</v>
      </c>
      <c r="D255">
        <v>22.522878745280337</v>
      </c>
      <c r="E255" t="s">
        <v>7</v>
      </c>
      <c r="F255" t="s">
        <v>12</v>
      </c>
    </row>
    <row r="256" spans="1:6" x14ac:dyDescent="0.2">
      <c r="A256">
        <v>6</v>
      </c>
      <c r="B256" t="s">
        <v>6</v>
      </c>
      <c r="C256">
        <v>4</v>
      </c>
      <c r="D256">
        <v>20.897940008672037</v>
      </c>
      <c r="E256" t="s">
        <v>7</v>
      </c>
      <c r="F256" t="s">
        <v>12</v>
      </c>
    </row>
    <row r="257" spans="1:6" x14ac:dyDescent="0.2">
      <c r="A257">
        <v>6</v>
      </c>
      <c r="B257" t="s">
        <v>6</v>
      </c>
      <c r="C257">
        <v>5</v>
      </c>
      <c r="D257">
        <v>19.301029995663981</v>
      </c>
      <c r="E257" t="s">
        <v>7</v>
      </c>
      <c r="F257" t="s">
        <v>12</v>
      </c>
    </row>
    <row r="258" spans="1:6" x14ac:dyDescent="0.2">
      <c r="A258">
        <v>6</v>
      </c>
      <c r="B258" t="s">
        <v>6</v>
      </c>
      <c r="C258">
        <v>6</v>
      </c>
      <c r="D258">
        <v>17.721848749616356</v>
      </c>
      <c r="E258" t="s">
        <v>7</v>
      </c>
      <c r="F258" t="s">
        <v>12</v>
      </c>
    </row>
    <row r="259" spans="1:6" x14ac:dyDescent="0.2">
      <c r="A259">
        <v>6</v>
      </c>
      <c r="B259" t="s">
        <v>6</v>
      </c>
      <c r="C259">
        <v>7</v>
      </c>
      <c r="D259">
        <v>16.154901959985743</v>
      </c>
      <c r="E259" t="s">
        <v>7</v>
      </c>
      <c r="F259" t="s">
        <v>12</v>
      </c>
    </row>
    <row r="260" spans="1:6" x14ac:dyDescent="0.2">
      <c r="A260">
        <v>6</v>
      </c>
      <c r="B260" t="s">
        <v>6</v>
      </c>
      <c r="C260">
        <v>8</v>
      </c>
      <c r="D260">
        <v>14.596910013008056</v>
      </c>
      <c r="E260" t="s">
        <v>7</v>
      </c>
      <c r="F260" t="s">
        <v>12</v>
      </c>
    </row>
    <row r="261" spans="1:6" x14ac:dyDescent="0.2">
      <c r="A261">
        <v>6</v>
      </c>
      <c r="B261" t="s">
        <v>6</v>
      </c>
      <c r="C261">
        <v>9</v>
      </c>
      <c r="D261">
        <v>13.045757490560675</v>
      </c>
      <c r="E261" t="s">
        <v>7</v>
      </c>
      <c r="F261" t="s">
        <v>12</v>
      </c>
    </row>
    <row r="262" spans="1:6" x14ac:dyDescent="0.2">
      <c r="A262">
        <v>6</v>
      </c>
      <c r="B262" t="s">
        <v>6</v>
      </c>
      <c r="C262">
        <v>10</v>
      </c>
      <c r="D262">
        <v>11.5</v>
      </c>
      <c r="E262" t="s">
        <v>7</v>
      </c>
      <c r="F262" t="s">
        <v>12</v>
      </c>
    </row>
    <row r="263" spans="1:6" x14ac:dyDescent="0.2">
      <c r="A263">
        <v>6</v>
      </c>
      <c r="B263" t="s">
        <v>6</v>
      </c>
      <c r="C263">
        <v>11</v>
      </c>
      <c r="D263">
        <v>9.9586073148417746</v>
      </c>
      <c r="E263" t="s">
        <v>7</v>
      </c>
      <c r="F263" t="s">
        <v>12</v>
      </c>
    </row>
    <row r="264" spans="1:6" x14ac:dyDescent="0.2">
      <c r="A264">
        <v>6</v>
      </c>
      <c r="B264" t="s">
        <v>6</v>
      </c>
      <c r="C264">
        <v>12</v>
      </c>
      <c r="D264">
        <v>8.4208187539523749</v>
      </c>
      <c r="E264" t="s">
        <v>7</v>
      </c>
      <c r="F264" t="s">
        <v>12</v>
      </c>
    </row>
    <row r="265" spans="1:6" x14ac:dyDescent="0.2">
      <c r="A265">
        <v>7</v>
      </c>
      <c r="B265" t="s">
        <v>5</v>
      </c>
      <c r="C265">
        <v>1</v>
      </c>
      <c r="D265">
        <v>25</v>
      </c>
      <c r="E265" t="s">
        <v>13</v>
      </c>
      <c r="F265" t="s">
        <v>12</v>
      </c>
    </row>
    <row r="266" spans="1:6" x14ac:dyDescent="0.2">
      <c r="A266">
        <v>7</v>
      </c>
      <c r="B266" t="s">
        <v>5</v>
      </c>
      <c r="C266">
        <v>2</v>
      </c>
      <c r="D266">
        <v>24.198970004336019</v>
      </c>
      <c r="E266" t="s">
        <v>13</v>
      </c>
      <c r="F266" t="s">
        <v>12</v>
      </c>
    </row>
    <row r="267" spans="1:6" x14ac:dyDescent="0.2">
      <c r="A267">
        <v>7</v>
      </c>
      <c r="B267" t="s">
        <v>5</v>
      </c>
      <c r="C267">
        <v>3</v>
      </c>
      <c r="D267">
        <v>23.522878745280337</v>
      </c>
      <c r="E267" t="s">
        <v>13</v>
      </c>
      <c r="F267" t="s">
        <v>12</v>
      </c>
    </row>
    <row r="268" spans="1:6" x14ac:dyDescent="0.2">
      <c r="A268">
        <v>7</v>
      </c>
      <c r="B268" t="s">
        <v>5</v>
      </c>
      <c r="C268">
        <v>4</v>
      </c>
      <c r="D268">
        <v>22.897940008672037</v>
      </c>
      <c r="E268" t="s">
        <v>13</v>
      </c>
      <c r="F268" t="s">
        <v>12</v>
      </c>
    </row>
    <row r="269" spans="1:6" x14ac:dyDescent="0.2">
      <c r="A269">
        <v>7</v>
      </c>
      <c r="B269" t="s">
        <v>5</v>
      </c>
      <c r="C269">
        <v>5</v>
      </c>
      <c r="D269">
        <v>22.301029995663981</v>
      </c>
      <c r="E269" t="s">
        <v>13</v>
      </c>
      <c r="F269" t="s">
        <v>12</v>
      </c>
    </row>
    <row r="270" spans="1:6" x14ac:dyDescent="0.2">
      <c r="A270">
        <v>7</v>
      </c>
      <c r="B270" t="s">
        <v>5</v>
      </c>
      <c r="C270">
        <v>6</v>
      </c>
      <c r="D270">
        <v>21.721848749616356</v>
      </c>
      <c r="E270" t="s">
        <v>13</v>
      </c>
      <c r="F270" t="s">
        <v>12</v>
      </c>
    </row>
    <row r="271" spans="1:6" x14ac:dyDescent="0.2">
      <c r="A271">
        <v>7</v>
      </c>
      <c r="B271" t="s">
        <v>5</v>
      </c>
      <c r="C271">
        <v>7</v>
      </c>
      <c r="D271">
        <v>21.154901959985743</v>
      </c>
      <c r="E271" t="s">
        <v>13</v>
      </c>
      <c r="F271" t="s">
        <v>12</v>
      </c>
    </row>
    <row r="272" spans="1:6" x14ac:dyDescent="0.2">
      <c r="A272">
        <v>7</v>
      </c>
      <c r="B272" t="s">
        <v>5</v>
      </c>
      <c r="C272">
        <v>8</v>
      </c>
      <c r="D272">
        <v>20.596910013008056</v>
      </c>
      <c r="E272" t="s">
        <v>13</v>
      </c>
      <c r="F272" t="s">
        <v>12</v>
      </c>
    </row>
    <row r="273" spans="1:6" x14ac:dyDescent="0.2">
      <c r="A273">
        <v>7</v>
      </c>
      <c r="B273" t="s">
        <v>5</v>
      </c>
      <c r="C273">
        <v>9</v>
      </c>
      <c r="D273">
        <v>20.045757490560675</v>
      </c>
      <c r="E273" t="s">
        <v>13</v>
      </c>
      <c r="F273" t="s">
        <v>12</v>
      </c>
    </row>
    <row r="274" spans="1:6" x14ac:dyDescent="0.2">
      <c r="A274">
        <v>7</v>
      </c>
      <c r="B274" t="s">
        <v>5</v>
      </c>
      <c r="C274">
        <v>10</v>
      </c>
      <c r="D274">
        <v>19.5</v>
      </c>
      <c r="E274" t="s">
        <v>13</v>
      </c>
      <c r="F274" t="s">
        <v>12</v>
      </c>
    </row>
    <row r="275" spans="1:6" x14ac:dyDescent="0.2">
      <c r="A275">
        <v>7</v>
      </c>
      <c r="B275" t="s">
        <v>5</v>
      </c>
      <c r="C275">
        <v>11</v>
      </c>
      <c r="D275">
        <v>18.958607314841775</v>
      </c>
      <c r="E275" t="s">
        <v>13</v>
      </c>
      <c r="F275" t="s">
        <v>12</v>
      </c>
    </row>
    <row r="276" spans="1:6" x14ac:dyDescent="0.2">
      <c r="A276">
        <v>7</v>
      </c>
      <c r="B276" t="s">
        <v>5</v>
      </c>
      <c r="C276">
        <v>12</v>
      </c>
      <c r="D276">
        <v>18.420818753952375</v>
      </c>
      <c r="E276" t="s">
        <v>13</v>
      </c>
      <c r="F276" t="s">
        <v>12</v>
      </c>
    </row>
    <row r="277" spans="1:6" x14ac:dyDescent="0.2">
      <c r="A277">
        <v>8</v>
      </c>
      <c r="B277" t="s">
        <v>6</v>
      </c>
      <c r="C277">
        <v>1</v>
      </c>
      <c r="D277">
        <v>27</v>
      </c>
      <c r="E277" t="s">
        <v>13</v>
      </c>
      <c r="F277" t="s">
        <v>12</v>
      </c>
    </row>
    <row r="278" spans="1:6" x14ac:dyDescent="0.2">
      <c r="A278">
        <v>8</v>
      </c>
      <c r="B278" t="s">
        <v>6</v>
      </c>
      <c r="C278">
        <v>2</v>
      </c>
      <c r="D278">
        <v>25.498970004336019</v>
      </c>
      <c r="E278" t="s">
        <v>13</v>
      </c>
      <c r="F278" t="s">
        <v>12</v>
      </c>
    </row>
    <row r="279" spans="1:6" x14ac:dyDescent="0.2">
      <c r="A279">
        <v>8</v>
      </c>
      <c r="B279" t="s">
        <v>6</v>
      </c>
      <c r="C279">
        <v>3</v>
      </c>
      <c r="D279">
        <v>24.122878745280339</v>
      </c>
      <c r="E279" t="s">
        <v>13</v>
      </c>
      <c r="F279" t="s">
        <v>12</v>
      </c>
    </row>
    <row r="280" spans="1:6" x14ac:dyDescent="0.2">
      <c r="A280">
        <v>8</v>
      </c>
      <c r="B280" t="s">
        <v>6</v>
      </c>
      <c r="C280">
        <v>4</v>
      </c>
      <c r="D280">
        <v>22.79794000867204</v>
      </c>
      <c r="E280" t="s">
        <v>13</v>
      </c>
      <c r="F280" t="s">
        <v>12</v>
      </c>
    </row>
    <row r="281" spans="1:6" x14ac:dyDescent="0.2">
      <c r="A281">
        <v>8</v>
      </c>
      <c r="B281" t="s">
        <v>6</v>
      </c>
      <c r="C281">
        <v>5</v>
      </c>
      <c r="D281">
        <v>21.501029995663984</v>
      </c>
      <c r="E281" t="s">
        <v>13</v>
      </c>
      <c r="F281" t="s">
        <v>12</v>
      </c>
    </row>
    <row r="282" spans="1:6" x14ac:dyDescent="0.2">
      <c r="A282">
        <v>8</v>
      </c>
      <c r="B282" t="s">
        <v>6</v>
      </c>
      <c r="C282">
        <v>6</v>
      </c>
      <c r="D282">
        <v>20.22184874961636</v>
      </c>
      <c r="E282" t="s">
        <v>13</v>
      </c>
      <c r="F282" t="s">
        <v>12</v>
      </c>
    </row>
    <row r="283" spans="1:6" x14ac:dyDescent="0.2">
      <c r="A283">
        <v>8</v>
      </c>
      <c r="B283" t="s">
        <v>6</v>
      </c>
      <c r="C283">
        <v>7</v>
      </c>
      <c r="D283">
        <v>18.954901959985747</v>
      </c>
      <c r="E283" t="s">
        <v>13</v>
      </c>
      <c r="F283" t="s">
        <v>12</v>
      </c>
    </row>
    <row r="284" spans="1:6" x14ac:dyDescent="0.2">
      <c r="A284">
        <v>8</v>
      </c>
      <c r="B284" t="s">
        <v>6</v>
      </c>
      <c r="C284">
        <v>8</v>
      </c>
      <c r="D284">
        <v>17.696910013008061</v>
      </c>
      <c r="E284" t="s">
        <v>13</v>
      </c>
      <c r="F284" t="s">
        <v>12</v>
      </c>
    </row>
    <row r="285" spans="1:6" x14ac:dyDescent="0.2">
      <c r="A285">
        <v>8</v>
      </c>
      <c r="B285" t="s">
        <v>6</v>
      </c>
      <c r="C285">
        <v>9</v>
      </c>
      <c r="D285">
        <v>16.44575749056068</v>
      </c>
      <c r="E285" t="s">
        <v>13</v>
      </c>
      <c r="F285" t="s">
        <v>12</v>
      </c>
    </row>
    <row r="286" spans="1:6" x14ac:dyDescent="0.2">
      <c r="A286">
        <v>8</v>
      </c>
      <c r="B286" t="s">
        <v>6</v>
      </c>
      <c r="C286">
        <v>10</v>
      </c>
      <c r="D286">
        <v>15.200000000000006</v>
      </c>
      <c r="E286" t="s">
        <v>13</v>
      </c>
      <c r="F286" t="s">
        <v>12</v>
      </c>
    </row>
    <row r="287" spans="1:6" x14ac:dyDescent="0.2">
      <c r="A287">
        <v>8</v>
      </c>
      <c r="B287" t="s">
        <v>6</v>
      </c>
      <c r="C287">
        <v>11</v>
      </c>
      <c r="D287">
        <v>13.958607314841782</v>
      </c>
      <c r="E287" t="s">
        <v>13</v>
      </c>
      <c r="F287" t="s">
        <v>12</v>
      </c>
    </row>
    <row r="288" spans="1:6" x14ac:dyDescent="0.2">
      <c r="A288">
        <v>8</v>
      </c>
      <c r="B288" t="s">
        <v>6</v>
      </c>
      <c r="C288">
        <v>12</v>
      </c>
      <c r="D288">
        <v>12.720818753952383</v>
      </c>
      <c r="E288" t="s">
        <v>13</v>
      </c>
      <c r="F288" t="s">
        <v>12</v>
      </c>
    </row>
  </sheetData>
  <conditionalFormatting sqref="E97:E192">
    <cfRule type="containsText" dxfId="2" priority="3" operator="containsText" text="female">
      <formula>NOT(ISERROR(SEARCH("female",E97)))</formula>
    </cfRule>
  </conditionalFormatting>
  <conditionalFormatting sqref="B97:B192">
    <cfRule type="containsText" dxfId="1" priority="2" operator="containsText" text="schizo">
      <formula>NOT(ISERROR(SEARCH("schizo",B97)))</formula>
    </cfRule>
  </conditionalFormatting>
  <conditionalFormatting sqref="F97:F192">
    <cfRule type="containsText" dxfId="0" priority="1" operator="containsText" text="yes">
      <formula>NOT(ISERROR(SEARCH("yes",F97)))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pivot</vt:lpstr>
      <vt:lpstr>data</vt:lpstr>
      <vt:lpstr>template</vt:lpstr>
      <vt:lpstr>test</vt:lpstr>
      <vt:lpstr>score_init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Mascio, Aurelie</dc:creator>
  <cp:lastModifiedBy>Microsoft Office User</cp:lastModifiedBy>
  <dcterms:created xsi:type="dcterms:W3CDTF">2020-12-03T19:02:49Z</dcterms:created>
  <dcterms:modified xsi:type="dcterms:W3CDTF">2020-12-31T13:40:40Z</dcterms:modified>
</cp:coreProperties>
</file>